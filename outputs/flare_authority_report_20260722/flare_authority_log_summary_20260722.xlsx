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bb2495d6d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воды" sheetId="1" r:id="R4db4fa692a83416e"/>
    <x:sheet xmlns:r="http://schemas.openxmlformats.org/officeDocument/2006/relationships" name="Прогоны" sheetId="2" r:id="R6b6dda8ffef64a13"/>
    <x:sheet xmlns:r="http://schemas.openxmlformats.org/officeDocument/2006/relationships" name="Импульсы" sheetId="3" r:id="R6a921ecc99b44580"/>
    <x:sheet xmlns:r="http://schemas.openxmlformats.org/officeDocument/2006/relationships" name="PID по высотам" sheetId="4" r:id="R3484a0eda5fc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17324D"/>
      <x:name val="Carlito"/>
    </x:font>
    <x:font>
      <x:i/>
      <x:sz val="11"/>
      <x:color rgb="FF40404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F4F8FB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0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left style="thin">
        <x:color rgb="FF17324D"/>
      </x:left>
      <x:top style="thin">
        <x:color rgb="FF17324D"/>
      </x:top>
      <x:bottom style="thin">
        <x:color rgb="FFD9E2F3"/>
      </x:bottom>
    </x:border>
    <x:border>
      <x:top style="thin">
        <x:color rgb="FF17324D"/>
      </x:top>
      <x:bottom style="thin">
        <x:color rgb="FFD9E2F3"/>
      </x:bottom>
    </x:border>
    <x:border>
      <x:left style="thin">
        <x:color rgb="FF17324D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17324D"/>
      </x:left>
      <x:top style="thin">
        <x:color rgb="FFD9E2F3"/>
      </x:top>
      <x:bottom style="medium">
        <x:color rgb="FF17324D"/>
      </x:bottom>
    </x:border>
    <x:border>
      <x:top style="thin">
        <x:color rgb="FFD9E2F3"/>
      </x:top>
      <x:bottom style="medium">
        <x:color rgb="FF17324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3" fillId="6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02d2bc17c4eaa" /><Relationship Type="http://schemas.openxmlformats.org/officeDocument/2006/relationships/theme" Target="/xl/theme/theme1.xml" Id="R423a405f338a4bb7" /><Relationship Type="http://schemas.openxmlformats.org/officeDocument/2006/relationships/sharedStrings" Target="/xl/sharedStrings.xml" Id="Re610bc42cfc34d48" /><Relationship Type="http://schemas.openxmlformats.org/officeDocument/2006/relationships/worksheet" Target="/xl/worksheets/sheet1.xml" Id="R4db4fa692a83416e" /><Relationship Type="http://schemas.openxmlformats.org/officeDocument/2006/relationships/worksheet" Target="/xl/worksheets/sheet2.xml" Id="R6b6dda8ffef64a13" /><Relationship Type="http://schemas.openxmlformats.org/officeDocument/2006/relationships/worksheet" Target="/xl/worksheets/sheet3.xml" Id="R6a921ecc99b44580" /><Relationship Type="http://schemas.openxmlformats.org/officeDocument/2006/relationships/worksheet" Target="/xl/worksheets/sheet4.xml" Id="R3484a0eda5fc4522" /></Relationships>
</file>

<file path=xl/tables/table1.xml><?xml version="1.0" encoding="utf-8"?>
<x:table xmlns:x="http://schemas.openxmlformats.org/spreadsheetml/2006/main" id="1" name="RunsTable" displayName="RunsTable" ref="A1:P27" headerRowCount="1" totalsRowCount="0" totalsRowShown="0">
  <x:tableColumns count="16">
    <x:tableColumn id="1" name="Лог"/>
    <x:tableColumn id="2" name="Тип"/>
    <x:tableColumn id="3" name="Строк"/>
    <x:tableColumn id="4" name="Длительность, s"/>
    <x:tableColumn id="5" name="RA начало, ft"/>
    <x:tableColumn id="6" name="RA конец, ft"/>
    <x:tableColumn id="7" name="ControlMode"/>
    <x:tableColumn id="8" name="Active начало"/>
    <x:tableColumn id="9" name="Active конец"/>
    <x:tableColumn id="10" name="Импульсов"/>
    <x:tableColumn id="11" name="Работает"/>
    <x:tableColumn id="12" name="Слабо"/>
    <x:tableColumn id="13" name="Нет реакции"/>
    <x:tableColumn id="14" name="Статус"/>
    <x:tableColumn id="15" name="Краткий вывод"/>
    <x:tableColumn id="16" name="Полный пу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lsesTable" displayName="PulsesTable" ref="A1:X33" headerRowCount="1" totalsRowCount="0" totalsRowShown="0">
  <x:tableColumns count="24">
    <x:tableColumn id="1" name="Лог"/>
    <x:tableColumn id="2" name="Тип теста"/>
    <x:tableColumn id="3" name="Сегмент"/>
    <x:tableColumn id="4" name="Ось"/>
    <x:tableColumn id="5" name="ControlMode"/>
    <x:tableColumn id="6" name="Target RA, ft"/>
    <x:tableColumn id="7" name="Actual RA start, ft"/>
    <x:tableColumn id="8" name="Actual RA end, ft"/>
    <x:tableColumn id="9" name="t start, s"/>
    <x:tableColumn id="10" name="t end, s"/>
    <x:tableColumn id="11" name="ElevatorCmd, g"/>
    <x:tableColumn id="12" name="AileronCmd, deg"/>
    <x:tableColumn id="13" name="Δ Elevator avg, deg"/>
    <x:tableColumn id="14" name="Δ Aileron diff, deg"/>
    <x:tableColumn id="15" name="Δ Pitch, deg"/>
    <x:tableColumn id="16" name="Δ Roll, deg"/>
    <x:tableColumn id="17" name="Pitch rate min"/>
    <x:tableColumn id="18" name="Pitch rate max"/>
    <x:tableColumn id="19" name="Roll rate min"/>
    <x:tableColumn id="20" name="Roll rate max"/>
    <x:tableColumn id="21" name="|Δ surface|"/>
    <x:tableColumn id="22" name="Вердикт"/>
    <x:tableColumn id="23" name="Agent active"/>
    <x:tableColumn id="24" name="Источни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dBinsTable" displayName="PidBinsTable" ref="A1:T46" headerRowCount="1" totalsRowCount="0" totalsRowShown="0">
  <x:tableColumns count="20">
    <x:tableColumn id="1" name="Лог"/>
    <x:tableColumn id="2" name="Диапазон RA"/>
    <x:tableColumn id="3" name="Строк"/>
    <x:tableColumn id="4" name="t начало, s"/>
    <x:tableColumn id="5" name="t конец, s"/>
    <x:tableColumn id="6" name="RA начало, ft"/>
    <x:tableColumn id="7" name="RA конец, ft"/>
    <x:tableColumn id="8" name="Max |ElevatorCmd|"/>
    <x:tableColumn id="9" name="Elevator min, deg"/>
    <x:tableColumn id="10" name="Elevator max, deg"/>
    <x:tableColumn id="11" name="Max |AileronCmd|"/>
    <x:tableColumn id="12" name="Aileron diff min"/>
    <x:tableColumn id="13" name="Aileron diff max"/>
    <x:tableColumn id="14" name="Pitch начало"/>
    <x:tableColumn id="15" name="Pitch конец"/>
    <x:tableColumn id="16" name="Roll начало"/>
    <x:tableColumn id="17" name="Roll конец"/>
    <x:tableColumn id="18" name="ControlMode"/>
    <x:tableColumn id="19" name="Active конец"/>
    <x:tableColumn id="20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04633e373948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242f27325245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14474baab84f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18" hidden="0" customWidth="1"/>
    <x:col min="5" max="5" width="18" hidden="0" customWidth="1"/>
    <x:col min="6" max="6" width="38" hidden="0" customWidth="1"/>
    <x:col min="7" max="7" width="38" hidden="0" customWidth="1"/>
    <x:col min="8" max="8" width="52" hidden="0" customWidth="1"/>
  </x:cols>
  <x:sheetData>
    <x:row r="1" ht="30" customHeight="1">
      <x:c r="A1" s="4" t="str">
        <x:v>Flare / ICS authority — сводка логов 22.07.2026</x:v>
      </x:c>
      <x:c r="B1" s="4" t="str">
        <x:v>Flare / ICS authority — сводка логов 22.07.2026</x:v>
      </x:c>
      <x:c r="C1" s="4" t="str">
        <x:v>Flare / ICS authority — сводка логов 22.07.2026</x:v>
      </x:c>
      <x:c r="D1" s="4" t="str">
        <x:v>Flare / ICS authority — сводка логов 22.07.2026</x:v>
      </x:c>
      <x:c r="E1" s="4" t="str">
        <x:v>Flare / ICS authority — сводка логов 22.07.2026</x:v>
      </x:c>
      <x:c r="F1" s="4" t="str">
        <x:v>Flare / ICS authority — сводка логов 22.07.2026</x:v>
      </x:c>
      <x:c r="G1" s="4" t="str">
        <x:v>Flare / ICS authority — сводка логов 22.07.2026</x:v>
      </x:c>
      <x:c r="H1" s="4" t="str">
        <x:v>Flare / ICS authority — сводка логов 22.07.2026</x:v>
      </x:c>
    </x:row>
    <x:row r="2" ht="30" customHeight="1">
      <x:c r="A2" s="4" t="str">
        <x:v>Flare / ICS authority — сводка логов 22.07.2026</x:v>
      </x:c>
      <x:c r="B2" s="4" t="str">
        <x:v>Flare / ICS authority — сводка логов 22.07.2026</x:v>
      </x:c>
      <x:c r="C2" s="4" t="str">
        <x:v>Flare / ICS authority — сводка логов 22.07.2026</x:v>
      </x:c>
      <x:c r="D2" s="4" t="str">
        <x:v>Flare / ICS authority — сводка логов 22.07.2026</x:v>
      </x:c>
      <x:c r="E2" s="4" t="str">
        <x:v>Flare / ICS authority — сводка логов 22.07.2026</x:v>
      </x:c>
      <x:c r="F2" s="4" t="str">
        <x:v>Flare / ICS authority — сводка логов 22.07.2026</x:v>
      </x:c>
      <x:c r="G2" s="4" t="str">
        <x:v>Flare / ICS authority — сводка логов 22.07.2026</x:v>
      </x:c>
      <x:c r="H2" s="4" t="str">
        <x:v>Flare / ICS authority — сводка логов 22.07.2026</x:v>
      </x:c>
    </x:row>
    <x:row r="4" ht="34" customHeight="1">
      <x:c r="A4" s="13" t="str">
        <x:v>Показатель</x:v>
      </x:c>
      <x:c r="B4" s="14" t="str">
        <x:v>Значение</x:v>
      </x:c>
    </x:row>
    <x:row r="5">
      <x:c r="A5" s="16" t="str">
        <x:v>Всего включённых логов</x:v>
      </x:c>
      <x:c r="B5" s="20" t="n">
        <x:f>COUNTA('Прогоны'!$A$2:$A$27)</x:f>
        <x:v>26</x:v>
      </x:c>
    </x:row>
    <x:row r="6">
      <x:c r="A6" s="16" t="str">
        <x:v>Измеренных импульсов</x:v>
      </x:c>
      <x:c r="B6" s="20" t="n">
        <x:f>COUNTA('Импульсы'!$A$2:$A$33)</x:f>
        <x:v>32</x:v>
      </x:c>
    </x:row>
    <x:row r="7">
      <x:c r="A7" s="16" t="str">
        <x:v>Импульсов без реакции</x:v>
      </x:c>
      <x:c r="B7" s="20" t="n">
        <x:f>COUNTIF('Импульсы'!$V$2:$V$33,"НЕТ РЕАКЦИИ")</x:f>
        <x:v>17</x:v>
      </x:c>
    </x:row>
    <x:row r="9" ht="34" customHeight="1">
      <x:c r="A9" s="30" t="str">
        <x:v>Приоритет</x:v>
      </x:c>
      <x:c r="B9" s="31" t="str">
        <x:v>Наблюдение</x:v>
      </x:c>
      <x:c r="C9" s="31" t="str">
        <x:v>Режим</x:v>
      </x:c>
      <x:c r="D9" s="31" t="str">
        <x:v>Высота</x:v>
      </x:c>
      <x:c r="E9" s="31" t="str">
        <x:v>Команда</x:v>
      </x:c>
      <x:c r="F9" s="31" t="str">
        <x:v>Фактическая поверхность</x:v>
      </x:c>
      <x:c r="G9" s="31" t="str">
        <x:v>Вывод</x:v>
      </x:c>
      <x:c r="H9" s="31" t="str">
        <x:v>Источник</x:v>
      </x:c>
    </x:row>
    <x:row r="10">
      <x:c r="A10" s="32" t="n">
        <x:v>1</x:v>
      </x:c>
      <x:c r="B10" s="33" t="str">
        <x:v>Повторяемый провал pitch authority</x:v>
      </x:c>
      <x:c r="C10" s="33" t="str">
        <x:v>Approach</x:v>
      </x:c>
      <x:c r="D10" s="33" t="str">
        <x:v>400 → 300 ft</x:v>
      </x:c>
      <x:c r="E10" s="33" t="str">
        <x:v>ElevatorCmd +0.5 g</x:v>
      </x:c>
      <x:c r="F10" s="33" t="str">
        <x:v>dElev около -5.5…-6.4° на 400 ft; около 0° на 300/200/150 ft</x:v>
      </x:c>
      <x:c r="G10" s="33" t="str">
        <x:v>Команда передаётся, но привод почти не реагирует ниже 400 ft</x:v>
      </x:c>
      <x:c r="H10" s="33" t="str">
        <x:v>C:\Users\user\Documents\aviacia_v2\logs\ics_altitude_authority_20260722_184422.csv</x:v>
      </x:c>
    </x:row>
    <x:row r="11">
      <x:c r="A11" s="32" t="n">
        <x:v>2</x:v>
      </x:c>
      <x:c r="B11" s="33" t="str">
        <x:v>Повторяемый провал roll authority</x:v>
      </x:c>
      <x:c r="C11" s="33" t="str">
        <x:v>Approach</x:v>
      </x:c>
      <x:c r="D11" s="33" t="str">
        <x:v>400 → 300 ft</x:v>
      </x:c>
      <x:c r="E11" s="33" t="str">
        <x:v>AileronCmd ±5°</x:v>
      </x:c>
      <x:c r="F11" s="33" t="str">
        <x:v>dAil около -4.4° на 400 ft; около 0° на 300/200/150 ft</x:v>
      </x:c>
      <x:c r="G11" s="33" t="str">
        <x:v>Проблема затрагивает оба канала одновременно</x:v>
      </x:c>
      <x:c r="H11" s="33" t="str">
        <x:v>C:\Users\user\Documents\aviacia_v2\logs\ics_altitude_authority_20260722_184422.csv</x:v>
      </x:c>
    </x:row>
    <x:row r="12">
      <x:c r="A12" s="32" t="n">
        <x:v>3</x:v>
      </x:c>
      <x:c r="B12" s="33" t="str">
        <x:v>Переключение ControlMode не вернуло управление</x:v>
      </x:c>
      <x:c r="C12" s="33" t="str">
        <x:v>Approach → Landing</x:v>
      </x:c>
      <x:c r="D12" s="33" t="str">
        <x:v>277.5 ft; тест на 200 ft</x:v>
      </x:c>
      <x:c r="E12" s="33" t="str">
        <x:v>+0.5 g / +5°</x:v>
      </x:c>
      <x:c r="F12" s="33" t="str">
        <x:v>dElev=-0.003°; dAil≈0°</x:v>
      </x:c>
      <x:c r="G12" s="33" t="str">
        <x:v>Landing после 300 ft не восстанавливает authority</x:v>
      </x:c>
      <x:c r="H12" s="33" t="str">
        <x:v>C:\Users\user\Documents\aviacia_v2\logs\ics_altitude_authority_20260722_185652.csv</x:v>
      </x:c>
    </x:row>
    <x:row r="13">
      <x:c r="A13" s="32" t="n">
        <x:v>4</x:v>
      </x:c>
      <x:c r="B13" s="33" t="str">
        <x:v>AgentIsActive не показывает фактическое принятие команд</x:v>
      </x:c>
      <x:c r="C13" s="33" t="str">
        <x:v>Approach / Landing</x:v>
      </x:c>
      <x:c r="D13" s="33" t="str">
        <x:v>разные</x:v>
      </x:c>
      <x:c r="E13" s="33" t="str">
        <x:v>команды продолжаются</x:v>
      </x:c>
      <x:c r="F13" s="33" t="str">
        <x:v>authority исчезает при active=1; inactive случается на 430/162/161 ft</x:v>
      </x:c>
      <x:c r="G13" s="33" t="str">
        <x:v>Active-флаг и actuator authority — разные состояния</x:v>
      </x:c>
      <x:c r="H13" s="33" t="str">
        <x:v>C:\Users\user\Documents\aviacia_v2\logs\ics_altitude_authority_20260722_184031.csv</x:v>
      </x:c>
    </x:row>
    <x:row r="14">
      <x:c r="A14" s="34" t="n">
        <x:v>5</x:v>
      </x:c>
      <x:c r="B14" s="35" t="str">
        <x:v>Точная причина ещё не развязана</x:v>
      </x:c>
      <x:c r="C14" s="35" t="str">
        <x:v>n/a</x:v>
      </x:c>
      <x:c r="D14" s="35" t="str">
        <x:v>n/a</x:v>
      </x:c>
      <x:c r="E14" s="35" t="str">
        <x:v>n/a</x:v>
      </x:c>
      <x:c r="F14" s="35" t="str">
        <x:v>высота и время полёта коррелируют</x:v>
      </x:c>
      <x:c r="G14" s="35" t="str">
        <x:v>Наиболее вероятен внутренний scheduling/gating ICS; нужен high-altitude long-duration A/B</x:v>
      </x:c>
      <x:c r="H14" s="35" t="str">
        <x:v>C:\Users\user\Documents\aviacia_v2\logs\ics_altitude_authority_20260722_184231.csv</x:v>
      </x:c>
    </x:row>
    <x:row r="16">
      <x:c r="A16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B16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C16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D16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E16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F16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G16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H16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</x:row>
    <x:row r="17">
      <x:c r="A17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B17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C17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D17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E17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F17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G17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  <x:c r="H17" s="39" t="str">
        <x:v>Критерий verdict в листе «Импульсы»: |Δ поверхности| ≥ 1° = РАБОТАЕТ; 0.1…1° = СЛАБО; &lt; 0.1° = НЕТ РЕАКЦИИ. Это диагностический порог для сравнения одинаковых коротких импульсов, а не аэродинамический норматив.</x:v>
      </x:c>
    </x:row>
  </x:sheetData>
  <x:mergeCells>
    <x:mergeCell ref="A1:H2"/>
    <x:mergeCell ref="A16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0" hidden="0" customWidth="1"/>
    <x:col min="15" max="15" width="48" hidden="0" customWidth="1"/>
    <x:col min="16" max="16" width="54" hidden="0" customWidth="1"/>
  </x:cols>
  <x:sheetData>
    <x:row r="1" ht="34" customHeight="1">
      <x:c r="A1" s="13" t="str">
        <x:v>Лог</x:v>
      </x:c>
      <x:c r="B1" s="24" t="str">
        <x:v>Тип</x:v>
      </x:c>
      <x:c r="C1" s="24" t="str">
        <x:v>Строк</x:v>
      </x:c>
      <x:c r="D1" s="24" t="str">
        <x:v>Длительность, s</x:v>
      </x:c>
      <x:c r="E1" s="24" t="str">
        <x:v>RA начало, ft</x:v>
      </x:c>
      <x:c r="F1" s="24" t="str">
        <x:v>RA конец, ft</x:v>
      </x:c>
      <x:c r="G1" s="24" t="str">
        <x:v>ControlMode</x:v>
      </x:c>
      <x:c r="H1" s="24" t="str">
        <x:v>Active начало</x:v>
      </x:c>
      <x:c r="I1" s="24" t="str">
        <x:v>Active конец</x:v>
      </x:c>
      <x:c r="J1" s="24" t="str">
        <x:v>Импульсов</x:v>
      </x:c>
      <x:c r="K1" s="24" t="str">
        <x:v>Работает</x:v>
      </x:c>
      <x:c r="L1" s="24" t="str">
        <x:v>Слабо</x:v>
      </x:c>
      <x:c r="M1" s="24" t="str">
        <x:v>Нет реакции</x:v>
      </x:c>
      <x:c r="N1" s="24" t="str">
        <x:v>Статус</x:v>
      </x:c>
      <x:c r="O1" s="24" t="str">
        <x:v>Краткий вывод</x:v>
      </x:c>
      <x:c r="P1" s="14" t="str">
        <x:v>Полный путь</x:v>
      </x:c>
    </x:row>
    <x:row r="2">
      <x:c r="A2" s="28" t="str">
        <x:v>ics_altitude_authority_20260722_184031.csv</x:v>
      </x:c>
      <x:c r="B2" s="28" t="str">
        <x:v>Altitude authority</x:v>
      </x:c>
      <x:c r="C2" s="41" t="n">
        <x:v>945</x:v>
      </x:c>
      <x:c r="D2" s="40" t="n">
        <x:v>34.87367050000012</x:v>
      </x:c>
      <x:c r="E2" s="40" t="n">
        <x:v>543.0842</x:v>
      </x:c>
      <x:c r="F2" s="40" t="n">
        <x:v>161.271576</x:v>
      </x:c>
      <x:c r="G2" s="40" t="str">
        <x:v>Off → Approach</x:v>
      </x:c>
      <x:c r="H2" s="40" t="str">
        <x:v>1</x:v>
      </x:c>
      <x:c r="I2" s="40" t="str">
        <x:v>0</x:v>
      </x:c>
      <x:c r="J2" s="41" t="n">
        <x:v>6</x:v>
      </x:c>
      <x:c r="K2" s="41" t="n">
        <x:v>2</x:v>
      </x:c>
      <x:c r="L2" s="41" t="n">
        <x:v>0</x:v>
      </x:c>
      <x:c r="M2" s="41" t="n">
        <x:v>4</x:v>
      </x:c>
      <x:c r="N2" s="28" t="str">
        <x:v>SAFETY_ABORT: ICS became inactive</x:v>
      </x:c>
      <x:c r="O2" s="28" t="str">
        <x:v>На 400 ft работает; на 300 ft и ниже response исчезает</x:v>
      </x:c>
      <x:c r="P2" s="28" t="str">
        <x:v>C:\Users\user\Documents\aviacia_v2\logs\ics_altitude_authority_20260722_184031.csv</x:v>
      </x:c>
    </x:row>
    <x:row r="3">
      <x:c r="A3" s="28" t="str">
        <x:v>ics_altitude_authority_20260722_184231.csv</x:v>
      </x:c>
      <x:c r="B3" s="28" t="str">
        <x:v>Altitude authority</x:v>
      </x:c>
      <x:c r="C3" s="41" t="n">
        <x:v>1381</x:v>
      </x:c>
      <x:c r="D3" s="40" t="n">
        <x:v>51.125824300000204</x:v>
      </x:c>
      <x:c r="E3" s="40" t="n">
        <x:v>1129.69556</x:v>
      </x:c>
      <x:c r="F3" s="40" t="n">
        <x:v>430.6478</x:v>
      </x:c>
      <x:c r="G3" s="40" t="str">
        <x:v>Off → Approach</x:v>
      </x:c>
      <x:c r="H3" s="40" t="str">
        <x:v>1</x:v>
      </x:c>
      <x:c r="I3" s="40" t="str">
        <x:v>0</x:v>
      </x:c>
      <x:c r="J3" s="41" t="n">
        <x:v>0</x:v>
      </x:c>
      <x:c r="K3" s="41" t="n">
        <x:v>0</x:v>
      </x:c>
      <x:c r="L3" s="41" t="n">
        <x:v>0</x:v>
      </x:c>
      <x:c r="M3" s="41" t="n">
        <x:v>0</x:v>
      </x:c>
      <x:c r="N3" s="28" t="str">
        <x:v>SAFETY_ABORT: ICS became inactive</x:v>
      </x:c>
      <x:c r="O3" s="28" t="str">
        <x:v>До первой целевой высоты не дошёл</x:v>
      </x:c>
      <x:c r="P3" s="28" t="str">
        <x:v>C:\Users\user\Documents\aviacia_v2\logs\ics_altitude_authority_20260722_184231.csv</x:v>
      </x:c>
    </x:row>
    <x:row r="4">
      <x:c r="A4" s="28" t="str">
        <x:v>ics_altitude_authority_20260722_184422.csv</x:v>
      </x:c>
      <x:c r="B4" s="28" t="str">
        <x:v>Altitude authority</x:v>
      </x:c>
      <x:c r="C4" s="41" t="n">
        <x:v>865</x:v>
      </x:c>
      <x:c r="D4" s="40" t="n">
        <x:v>33.00567719999981</x:v>
      </x:c>
      <x:c r="E4" s="40" t="n">
        <x:v>536.0564</x:v>
      </x:c>
      <x:c r="F4" s="40" t="n">
        <x:v>123.883125</x:v>
      </x:c>
      <x:c r="G4" s="40" t="str">
        <x:v>Off → Approach</x:v>
      </x:c>
      <x:c r="H4" s="40" t="str">
        <x:v>1</x:v>
      </x:c>
      <x:c r="I4" s="40" t="str">
        <x:v>1</x:v>
      </x:c>
      <x:c r="J4" s="41" t="n">
        <x:v>8</x:v>
      </x:c>
      <x:c r="K4" s="41" t="n">
        <x:v>2</x:v>
      </x:c>
      <x:c r="L4" s="41" t="n">
        <x:v>1</x:v>
      </x:c>
      <x:c r="M4" s="41" t="n">
        <x:v>5</x:v>
      </x:c>
      <x:c r="N4" s="28" t="str">
        <x:v>Завершён</x:v>
      </x:c>
      <x:c r="O4" s="28" t="str">
        <x:v>На 400 ft работает; на 300 ft и ниже response исчезает</x:v>
      </x:c>
      <x:c r="P4" s="28" t="str">
        <x:v>C:\Users\user\Documents\aviacia_v2\logs\ics_altitude_authority_20260722_184422.csv</x:v>
      </x:c>
    </x:row>
    <x:row r="5">
      <x:c r="A5" s="28" t="str">
        <x:v>ics_altitude_authority_20260722_185652.csv</x:v>
      </x:c>
      <x:c r="B5" s="28" t="str">
        <x:v>Altitude authority</x:v>
      </x:c>
      <x:c r="C5" s="41" t="n">
        <x:v>1007</x:v>
      </x:c>
      <x:c r="D5" s="40" t="n">
        <x:v>35.3891279999998</x:v>
      </x:c>
      <x:c r="E5" s="40" t="n">
        <x:v>544.0654</x:v>
      </x:c>
      <x:c r="F5" s="40" t="n">
        <x:v>161.915375</x:v>
      </x:c>
      <x:c r="G5" s="40" t="str">
        <x:v>Off → Approach → Landing</x:v>
      </x:c>
      <x:c r="H5" s="40" t="str">
        <x:v>1</x:v>
      </x:c>
      <x:c r="I5" s="40" t="str">
        <x:v>0</x:v>
      </x:c>
      <x:c r="J5" s="41" t="n">
        <x:v>6</x:v>
      </x:c>
      <x:c r="K5" s="41" t="n">
        <x:v>2</x:v>
      </x:c>
      <x:c r="L5" s="41" t="n">
        <x:v>0</x:v>
      </x:c>
      <x:c r="M5" s="41" t="n">
        <x:v>4</x:v>
      </x:c>
      <x:c r="N5" s="28" t="str">
        <x:v>SAFETY_ABORT: ICS became inactive</x:v>
      </x:c>
      <x:c r="O5" s="28" t="str">
        <x:v>Landing не восстановил authority на нижних высотах</x:v>
      </x:c>
      <x:c r="P5" s="28" t="str">
        <x:v>C:\Users\user\Documents\aviacia_v2\logs\ics_altitude_authority_20260722_185652.csv</x:v>
      </x:c>
    </x:row>
    <x:row r="6">
      <x:c r="A6" s="28" t="str">
        <x:v>ics_elevator_sweep_20260722_154846.csv</x:v>
      </x:c>
      <x:c r="B6" s="28" t="str">
        <x:v>Elevator sweep</x:v>
      </x:c>
      <x:c r="C6" s="41" t="n">
        <x:v>404</x:v>
      </x:c>
      <x:c r="D6" s="40" t="n">
        <x:v>15.394847499999969</x:v>
      </x:c>
      <x:c r="E6" s="40" t="n">
        <x:v>1705.89526</x:v>
      </x:c>
      <x:c r="F6" s="40" t="n">
        <x:v>1628.8208</x:v>
      </x:c>
      <x:c r="G6" s="40" t="str">
        <x:v>n/a</x:v>
      </x:c>
      <x:c r="H6" s="40" t="str"/>
      <x:c r="I6" s="40" t="str"/>
      <x:c r="J6" s="41" t="n">
        <x:v>1</x:v>
      </x:c>
      <x:c r="K6" s="41" t="n">
        <x:v>1</x:v>
      </x:c>
      <x:c r="L6" s="41" t="n">
        <x:v>0</x:v>
      </x:c>
      <x:c r="M6" s="41" t="n">
        <x:v>0</x:v>
      </x:c>
      <x:c r="N6" s="28" t="str">
        <x:v>Завершён</x:v>
      </x:c>
      <x:c r="O6" s="28" t="str">
        <x:v>РАБОТАЕТ: dElev=-5.445°</x:v>
      </x:c>
      <x:c r="P6" s="28" t="str">
        <x:v>C:\Users\user\Documents\aviacia_v2\logs\ics_elevator_sweep_20260722_154846.csv</x:v>
      </x:c>
    </x:row>
    <x:row r="7">
      <x:c r="A7" s="28" t="str">
        <x:v>ics_elevator_sweep_20260722_155217.csv</x:v>
      </x:c>
      <x:c r="B7" s="28" t="str">
        <x:v>Elevator sweep</x:v>
      </x:c>
      <x:c r="C7" s="41" t="n">
        <x:v>153</x:v>
      </x:c>
      <x:c r="D7" s="40" t="n">
        <x:v>5.656980800000042</x:v>
      </x:c>
      <x:c r="E7" s="40" t="n">
        <x:v>1710.33911</x:v>
      </x:c>
      <x:c r="F7" s="40" t="n">
        <x:v>1620.61633</x:v>
      </x:c>
      <x:c r="G7" s="40" t="str">
        <x:v>n/a</x:v>
      </x:c>
      <x:c r="H7" s="40" t="str"/>
      <x:c r="I7" s="40" t="str"/>
      <x:c r="J7" s="41" t="n">
        <x:v>1</x:v>
      </x:c>
      <x:c r="K7" s="41" t="n">
        <x:v>1</x:v>
      </x:c>
      <x:c r="L7" s="41" t="n">
        <x:v>0</x:v>
      </x:c>
      <x:c r="M7" s="41" t="n">
        <x:v>0</x:v>
      </x:c>
      <x:c r="N7" s="28" t="str">
        <x:v>Завершён</x:v>
      </x:c>
      <x:c r="O7" s="28" t="str">
        <x:v>РАБОТАЕТ: dElev=-5.165°</x:v>
      </x:c>
      <x:c r="P7" s="28" t="str">
        <x:v>C:\Users\user\Documents\aviacia_v2\logs\ics_elevator_sweep_20260722_155217.csv</x:v>
      </x:c>
    </x:row>
    <x:row r="8">
      <x:c r="A8" s="28" t="str">
        <x:v>ics_elevator_sweep_20260722_155245.csv</x:v>
      </x:c>
      <x:c r="B8" s="28" t="str">
        <x:v>Elevator sweep</x:v>
      </x:c>
      <x:c r="C8" s="41" t="n">
        <x:v>155</x:v>
      </x:c>
      <x:c r="D8" s="40" t="n">
        <x:v>5.635752999999909</x:v>
      </x:c>
      <x:c r="E8" s="40" t="n">
        <x:v>1700.38879</x:v>
      </x:c>
      <x:c r="F8" s="40" t="n">
        <x:v>1611.33228</x:v>
      </x:c>
      <x:c r="G8" s="40" t="str">
        <x:v>n/a</x:v>
      </x:c>
      <x:c r="H8" s="40" t="str"/>
      <x:c r="I8" s="40" t="str"/>
      <x:c r="J8" s="41" t="n">
        <x:v>1</x:v>
      </x:c>
      <x:c r="K8" s="41" t="n">
        <x:v>1</x:v>
      </x:c>
      <x:c r="L8" s="41" t="n">
        <x:v>0</x:v>
      </x:c>
      <x:c r="M8" s="41" t="n">
        <x:v>0</x:v>
      </x:c>
      <x:c r="N8" s="28" t="str">
        <x:v>Завершён</x:v>
      </x:c>
      <x:c r="O8" s="28" t="str">
        <x:v>РАБОТАЕТ: dElev=-4.849°</x:v>
      </x:c>
      <x:c r="P8" s="28" t="str">
        <x:v>C:\Users\user\Documents\aviacia_v2\logs\ics_elevator_sweep_20260722_155245.csv</x:v>
      </x:c>
    </x:row>
    <x:row r="9">
      <x:c r="A9" s="28" t="str">
        <x:v>ics_elevator_sweep_20260722_155310.csv</x:v>
      </x:c>
      <x:c r="B9" s="28" t="str">
        <x:v>Elevator sweep</x:v>
      </x:c>
      <x:c r="C9" s="41" t="n">
        <x:v>159</x:v>
      </x:c>
      <x:c r="D9" s="40" t="n">
        <x:v>5.667704800000024</x:v>
      </x:c>
      <x:c r="E9" s="40" t="n">
        <x:v>1792.79016</x:v>
      </x:c>
      <x:c r="F9" s="40" t="n">
        <x:v>1703.42871</x:v>
      </x:c>
      <x:c r="G9" s="40" t="str">
        <x:v>n/a</x:v>
      </x:c>
      <x:c r="H9" s="40" t="str"/>
      <x:c r="I9" s="40" t="str"/>
      <x:c r="J9" s="41" t="n">
        <x:v>1</x:v>
      </x:c>
      <x:c r="K9" s="41" t="n">
        <x:v>1</x:v>
      </x:c>
      <x:c r="L9" s="41" t="n">
        <x:v>0</x:v>
      </x:c>
      <x:c r="M9" s="41" t="n">
        <x:v>0</x:v>
      </x:c>
      <x:c r="N9" s="28" t="str">
        <x:v>Завершён</x:v>
      </x:c>
      <x:c r="O9" s="28" t="str">
        <x:v>РАБОТАЕТ: dElev=-5.785°</x:v>
      </x:c>
      <x:c r="P9" s="28" t="str">
        <x:v>C:\Users\user\Documents\aviacia_v2\logs\ics_elevator_sweep_20260722_155310.csv</x:v>
      </x:c>
    </x:row>
    <x:row r="10">
      <x:c r="A10" s="28" t="str">
        <x:v>ics_elevator_sweep_20260722_155338.csv</x:v>
      </x:c>
      <x:c r="B10" s="28" t="str">
        <x:v>Elevator sweep</x:v>
      </x:c>
      <x:c r="C10" s="41" t="n">
        <x:v>155</x:v>
      </x:c>
      <x:c r="D10" s="40" t="n">
        <x:v>5.645983399999977</x:v>
      </x:c>
      <x:c r="E10" s="40" t="n">
        <x:v>1786.7583</x:v>
      </x:c>
      <x:c r="F10" s="40" t="n">
        <x:v>1699.25891</x:v>
      </x:c>
      <x:c r="G10" s="40" t="str">
        <x:v>n/a</x:v>
      </x:c>
      <x:c r="H10" s="40" t="str"/>
      <x:c r="I10" s="40" t="str"/>
      <x:c r="J10" s="41" t="n">
        <x:v>1</x:v>
      </x:c>
      <x:c r="K10" s="41" t="n">
        <x:v>1</x:v>
      </x:c>
      <x:c r="L10" s="41" t="n">
        <x:v>0</x:v>
      </x:c>
      <x:c r="M10" s="41" t="n">
        <x:v>0</x:v>
      </x:c>
      <x:c r="N10" s="28" t="str">
        <x:v>Завершён</x:v>
      </x:c>
      <x:c r="O10" s="28" t="str">
        <x:v>РАБОТАЕТ: dElev=-5.165°</x:v>
      </x:c>
      <x:c r="P10" s="28" t="str">
        <x:v>C:\Users\user\Documents\aviacia_v2\logs\ics_elevator_sweep_20260722_155338.csv</x:v>
      </x:c>
    </x:row>
    <x:row r="11">
      <x:c r="A11" s="28" t="str">
        <x:v>ics_elevator_sweep_20260722_155359.csv</x:v>
      </x:c>
      <x:c r="B11" s="28" t="str">
        <x:v>Elevator sweep</x:v>
      </x:c>
      <x:c r="C11" s="41" t="n">
        <x:v>159</x:v>
      </x:c>
      <x:c r="D11" s="40" t="n">
        <x:v>5.656906800000002</x:v>
      </x:c>
      <x:c r="E11" s="40" t="n">
        <x:v>1804.21716</x:v>
      </x:c>
      <x:c r="F11" s="40" t="n">
        <x:v>1723.65674</x:v>
      </x:c>
      <x:c r="G11" s="40" t="str">
        <x:v>n/a</x:v>
      </x:c>
      <x:c r="H11" s="40" t="str"/>
      <x:c r="I11" s="40" t="str"/>
      <x:c r="J11" s="41" t="n">
        <x:v>1</x:v>
      </x:c>
      <x:c r="K11" s="41" t="n">
        <x:v>1</x:v>
      </x:c>
      <x:c r="L11" s="41" t="n">
        <x:v>0</x:v>
      </x:c>
      <x:c r="M11" s="41" t="n">
        <x:v>0</x:v>
      </x:c>
      <x:c r="N11" s="28" t="str">
        <x:v>Завершён</x:v>
      </x:c>
      <x:c r="O11" s="28" t="str">
        <x:v>РАБОТАЕТ: dElev=-5.476°</x:v>
      </x:c>
      <x:c r="P11" s="28" t="str">
        <x:v>C:\Users\user\Documents\aviacia_v2\logs\ics_elevator_sweep_20260722_155359.csv</x:v>
      </x:c>
    </x:row>
    <x:row r="12">
      <x:c r="A12" s="28" t="str">
        <x:v>ics_elevator_sweep_20260722_180419.csv</x:v>
      </x:c>
      <x:c r="B12" s="28" t="str">
        <x:v>Elevator sweep</x:v>
      </x:c>
      <x:c r="C12" s="41" t="n">
        <x:v>162</x:v>
      </x:c>
      <x:c r="D12" s="40" t="n">
        <x:v>5.6516168000002835</x:v>
      </x:c>
      <x:c r="E12" s="40" t="n">
        <x:v>1159.62634</x:v>
      </x:c>
      <x:c r="F12" s="40" t="n">
        <x:v>1076.2052</x:v>
      </x:c>
      <x:c r="G12" s="40" t="str">
        <x:v>n/a</x:v>
      </x:c>
      <x:c r="H12" s="40" t="str"/>
      <x:c r="I12" s="40" t="str"/>
      <x:c r="J12" s="41" t="n">
        <x:v>1</x:v>
      </x:c>
      <x:c r="K12" s="41" t="n">
        <x:v>1</x:v>
      </x:c>
      <x:c r="L12" s="41" t="n">
        <x:v>0</x:v>
      </x:c>
      <x:c r="M12" s="41" t="n">
        <x:v>0</x:v>
      </x:c>
      <x:c r="N12" s="28" t="str">
        <x:v>Завершён</x:v>
      </x:c>
      <x:c r="O12" s="28" t="str">
        <x:v>РАБОТАЕТ: dElev=-6.108°</x:v>
      </x:c>
      <x:c r="P12" s="28" t="str">
        <x:v>C:\Users\user\Documents\aviacia_v2\logs\ics_elevator_sweep_20260722_180419.csv</x:v>
      </x:c>
    </x:row>
    <x:row r="13">
      <x:c r="A13" s="28" t="str">
        <x:v>ics_elevator_sweep_20260722_180554.csv</x:v>
      </x:c>
      <x:c r="B13" s="28" t="str">
        <x:v>Elevator sweep</x:v>
      </x:c>
      <x:c r="C13" s="41" t="n">
        <x:v>108</x:v>
      </x:c>
      <x:c r="D13" s="40" t="n">
        <x:v>3.8789025000000947</x:v>
      </x:c>
      <x:c r="E13" s="40" t="n">
        <x:v>541.705139</x:v>
      </x:c>
      <x:c r="F13" s="40" t="n">
        <x:v>505.534851</x:v>
      </x:c>
      <x:c r="G13" s="40" t="str">
        <x:v>n/a</x:v>
      </x:c>
      <x:c r="H13" s="40" t="str"/>
      <x:c r="I13" s="40" t="str"/>
      <x:c r="J13" s="41" t="n">
        <x:v>0</x:v>
      </x:c>
      <x:c r="K13" s="41" t="n">
        <x:v>0</x:v>
      </x:c>
      <x:c r="L13" s="41" t="n">
        <x:v>0</x:v>
      </x:c>
      <x:c r="M13" s="41" t="n">
        <x:v>0</x:v>
      </x:c>
      <x:c r="N13" s="28" t="str">
        <x:v>Импульс не записан</x:v>
      </x:c>
      <x:c r="O13" s="28" t="str">
        <x:v>См. подробности</x:v>
      </x:c>
      <x:c r="P13" s="28" t="str">
        <x:v>C:\Users\user\Documents\aviacia_v2\logs\ics_elevator_sweep_20260722_180554.csv</x:v>
      </x:c>
    </x:row>
    <x:row r="14">
      <x:c r="A14" s="28" t="str">
        <x:v>ics_elevator_sweep_20260722_180802.csv</x:v>
      </x:c>
      <x:c r="B14" s="28" t="str">
        <x:v>Elevator sweep</x:v>
      </x:c>
      <x:c r="C14" s="41" t="n">
        <x:v>241</x:v>
      </x:c>
      <x:c r="D14" s="40" t="n">
        <x:v>8.401020000000244</x:v>
      </x:c>
      <x:c r="E14" s="40" t="n">
        <x:v>194.7106</x:v>
      </x:c>
      <x:c r="F14" s="40" t="n">
        <x:v>77.63497</x:v>
      </x:c>
      <x:c r="G14" s="40" t="str">
        <x:v>n/a</x:v>
      </x:c>
      <x:c r="H14" s="40" t="str"/>
      <x:c r="I14" s="40" t="str"/>
      <x:c r="J14" s="41" t="n">
        <x:v>1</x:v>
      </x:c>
      <x:c r="K14" s="41" t="n">
        <x:v>0</x:v>
      </x:c>
      <x:c r="L14" s="41" t="n">
        <x:v>0</x:v>
      </x:c>
      <x:c r="M14" s="41" t="n">
        <x:v>1</x:v>
      </x:c>
      <x:c r="N14" s="28" t="str">
        <x:v>Завершён</x:v>
      </x:c>
      <x:c r="O14" s="28" t="str">
        <x:v>НЕТ РЕАКЦИИ: dElev=-0.002°</x:v>
      </x:c>
      <x:c r="P14" s="28" t="str">
        <x:v>C:\Users\user\Documents\aviacia_v2\logs\ics_elevator_sweep_20260722_180802.csv</x:v>
      </x:c>
    </x:row>
    <x:row r="15">
      <x:c r="A15" s="28" t="str">
        <x:v>ics_elevator_sweep_20260722_180921.csv</x:v>
      </x:c>
      <x:c r="B15" s="28" t="str">
        <x:v>Elevator sweep</x:v>
      </x:c>
      <x:c r="C15" s="41" t="n">
        <x:v>152</x:v>
      </x:c>
      <x:c r="D15" s="40" t="n">
        <x:v>5.630990900000143</x:v>
      </x:c>
      <x:c r="E15" s="40" t="n">
        <x:v>503.2204</x:v>
      </x:c>
      <x:c r="F15" s="40" t="n">
        <x:v>428.785278</x:v>
      </x:c>
      <x:c r="G15" s="40" t="str">
        <x:v>n/a</x:v>
      </x:c>
      <x:c r="H15" s="40" t="str"/>
      <x:c r="I15" s="40" t="str"/>
      <x:c r="J15" s="41" t="n">
        <x:v>1</x:v>
      </x:c>
      <x:c r="K15" s="41" t="n">
        <x:v>1</x:v>
      </x:c>
      <x:c r="L15" s="41" t="n">
        <x:v>0</x:v>
      </x:c>
      <x:c r="M15" s="41" t="n">
        <x:v>0</x:v>
      </x:c>
      <x:c r="N15" s="28" t="str">
        <x:v>Завершён</x:v>
      </x:c>
      <x:c r="O15" s="28" t="str">
        <x:v>РАБОТАЕТ: dElev=-6.107°</x:v>
      </x:c>
      <x:c r="P15" s="28" t="str">
        <x:v>C:\Users\user\Documents\aviacia_v2\logs\ics_elevator_sweep_20260722_180921.csv</x:v>
      </x:c>
    </x:row>
    <x:row r="16">
      <x:c r="A16" s="28" t="str">
        <x:v>ics_elevator_sweep_20260722_180931.csv</x:v>
      </x:c>
      <x:c r="B16" s="28" t="str">
        <x:v>Elevator sweep</x:v>
      </x:c>
      <x:c r="C16" s="41" t="n">
        <x:v>157</x:v>
      </x:c>
      <x:c r="D16" s="40" t="n">
        <x:v>5.644870900000569</x:v>
      </x:c>
      <x:c r="E16" s="40" t="n">
        <x:v>383.152374</x:v>
      </x:c>
      <x:c r="F16" s="40" t="n">
        <x:v>304.4872</x:v>
      </x:c>
      <x:c r="G16" s="40" t="str">
        <x:v>n/a</x:v>
      </x:c>
      <x:c r="H16" s="40" t="str"/>
      <x:c r="I16" s="40" t="str"/>
      <x:c r="J16" s="41" t="n">
        <x:v>1</x:v>
      </x:c>
      <x:c r="K16" s="41" t="n">
        <x:v>0</x:v>
      </x:c>
      <x:c r="L16" s="41" t="n">
        <x:v>0</x:v>
      </x:c>
      <x:c r="M16" s="41" t="n">
        <x:v>1</x:v>
      </x:c>
      <x:c r="N16" s="28" t="str">
        <x:v>Завершён</x:v>
      </x:c>
      <x:c r="O16" s="28" t="str">
        <x:v>НЕТ РЕАКЦИИ: dElev=-0.013°</x:v>
      </x:c>
      <x:c r="P16" s="28" t="str">
        <x:v>C:\Users\user\Documents\aviacia_v2\logs\ics_elevator_sweep_20260722_180931.csv</x:v>
      </x:c>
    </x:row>
    <x:row r="17">
      <x:c r="A17" s="28" t="str">
        <x:v>ics_elevator_sweep_20260722_180941.csv</x:v>
      </x:c>
      <x:c r="B17" s="28" t="str">
        <x:v>Elevator sweep</x:v>
      </x:c>
      <x:c r="C17" s="41" t="n">
        <x:v>148</x:v>
      </x:c>
      <x:c r="D17" s="40" t="n">
        <x:v>5.643636400000105</x:v>
      </x:c>
      <x:c r="E17" s="40" t="n">
        <x:v>245.9834</x:v>
      </x:c>
      <x:c r="F17" s="40" t="n">
        <x:v>173.941574</x:v>
      </x:c>
      <x:c r="G17" s="40" t="str">
        <x:v>n/a</x:v>
      </x:c>
      <x:c r="H17" s="40" t="str"/>
      <x:c r="I17" s="40" t="str"/>
      <x:c r="J17" s="41" t="n">
        <x:v>1</x:v>
      </x:c>
      <x:c r="K17" s="41" t="n">
        <x:v>0</x:v>
      </x:c>
      <x:c r="L17" s="41" t="n">
        <x:v>0</x:v>
      </x:c>
      <x:c r="M17" s="41" t="n">
        <x:v>1</x:v>
      </x:c>
      <x:c r="N17" s="28" t="str">
        <x:v>Завершён</x:v>
      </x:c>
      <x:c r="O17" s="28" t="str">
        <x:v>НЕТ РЕАКЦИИ: dElev=0.007°</x:v>
      </x:c>
      <x:c r="P17" s="28" t="str">
        <x:v>C:\Users\user\Documents\aviacia_v2\logs\ics_elevator_sweep_20260722_180941.csv</x:v>
      </x:c>
    </x:row>
    <x:row r="18">
      <x:c r="A18" s="28" t="str">
        <x:v>ics_elevator_sweep_20260722_180950.csv</x:v>
      </x:c>
      <x:c r="B18" s="28" t="str">
        <x:v>Elevator sweep</x:v>
      </x:c>
      <x:c r="C18" s="41" t="n">
        <x:v>151</x:v>
      </x:c>
      <x:c r="D18" s="40" t="n">
        <x:v>5.613721499999883</x:v>
      </x:c>
      <x:c r="E18" s="40" t="n">
        <x:v>130.842224</x:v>
      </x:c>
      <x:c r="F18" s="40" t="n">
        <x:v>61.61001</x:v>
      </x:c>
      <x:c r="G18" s="40" t="str">
        <x:v>n/a</x:v>
      </x:c>
      <x:c r="H18" s="40" t="str"/>
      <x:c r="I18" s="40" t="str"/>
      <x:c r="J18" s="41" t="n">
        <x:v>1</x:v>
      </x:c>
      <x:c r="K18" s="41" t="n">
        <x:v>0</x:v>
      </x:c>
      <x:c r="L18" s="41" t="n">
        <x:v>0</x:v>
      </x:c>
      <x:c r="M18" s="41" t="n">
        <x:v>1</x:v>
      </x:c>
      <x:c r="N18" s="28" t="str">
        <x:v>Завершён</x:v>
      </x:c>
      <x:c r="O18" s="28" t="str">
        <x:v>НЕТ РЕАКЦИИ: dElev=-0.001°</x:v>
      </x:c>
      <x:c r="P18" s="28" t="str">
        <x:v>C:\Users\user\Documents\aviacia_v2\logs\ics_elevator_sweep_20260722_180950.csv</x:v>
      </x:c>
    </x:row>
    <x:row r="19">
      <x:c r="A19" s="28" t="str">
        <x:v>ics_pid_20260722_111305.csv</x:v>
      </x:c>
      <x:c r="B19" s="28" t="str">
        <x:v>PID landing</x:v>
      </x:c>
      <x:c r="C19" s="41" t="n">
        <x:v>1088</x:v>
      </x:c>
      <x:c r="D19" s="40" t="n">
        <x:v>41.46028030000025</x:v>
      </x:c>
      <x:c r="E19" s="40" t="n">
        <x:v>541.649048</x:v>
      </x:c>
      <x:c r="F19" s="40" t="n">
        <x:v>1.31618309</x:v>
      </x:c>
      <x:c r="G19" s="40" t="str">
        <x:v>Approach</x:v>
      </x:c>
      <x:c r="H19" s="40" t="str">
        <x:v>1</x:v>
      </x:c>
      <x:c r="I19" s="40" t="str">
        <x:v>1</x:v>
      </x:c>
      <x:c r="J19" s="41" t="n">
        <x:v>0</x:v>
      </x:c>
      <x:c r="K19" s="41" t="n">
        <x:v>0</x:v>
      </x:c>
      <x:c r="L19" s="41" t="n">
        <x:v>0</x:v>
      </x:c>
      <x:c r="M19" s="41" t="n">
        <x:v>0</x:v>
      </x:c>
      <x:c r="N19" s="28" t="str">
        <x:v>Завершён</x:v>
      </x:c>
      <x:c r="O19" s="28" t="str">
        <x:v>Предыдущий PID-прогон посадки; см. разбивку по высотам</x:v>
      </x:c>
      <x:c r="P19" s="28" t="str">
        <x:v>C:\Users\user\Documents\aviacia_v2\logs\ics_pid_20260722_111305.csv</x:v>
      </x:c>
    </x:row>
    <x:row r="20">
      <x:c r="A20" s="28" t="str">
        <x:v>ics_pid_20260722_150549.csv</x:v>
      </x:c>
      <x:c r="B20" s="28" t="str">
        <x:v>PID landing</x:v>
      </x:c>
      <x:c r="C20" s="41" t="n">
        <x:v>1035</x:v>
      </x:c>
      <x:c r="D20" s="40" t="n">
        <x:v>41.10914570000023</x:v>
      </x:c>
      <x:c r="E20" s="40" t="n">
        <x:v>547.988831</x:v>
      </x:c>
      <x:c r="F20" s="40" t="n">
        <x:v>17.1675014</x:v>
      </x:c>
      <x:c r="G20" s="40" t="str">
        <x:v>Approach</x:v>
      </x:c>
      <x:c r="H20" s="40" t="str">
        <x:v>1</x:v>
      </x:c>
      <x:c r="I20" s="40" t="str">
        <x:v>1</x:v>
      </x:c>
      <x:c r="J20" s="41" t="n">
        <x:v>0</x:v>
      </x:c>
      <x:c r="K20" s="41" t="n">
        <x:v>0</x:v>
      </x:c>
      <x:c r="L20" s="41" t="n">
        <x:v>0</x:v>
      </x:c>
      <x:c r="M20" s="41" t="n">
        <x:v>0</x:v>
      </x:c>
      <x:c r="N20" s="28" t="str">
        <x:v>Завершён</x:v>
      </x:c>
      <x:c r="O20" s="28" t="str">
        <x:v>Предыдущий PID-прогон посадки; см. разбивку по высотам</x:v>
      </x:c>
      <x:c r="P20" s="28" t="str">
        <x:v>C:\Users\user\Documents\aviacia_v2\logs\ics_pid_20260722_150549.csv</x:v>
      </x:c>
    </x:row>
    <x:row r="21">
      <x:c r="A21" s="28" t="str">
        <x:v>ics_pid_20260722_155752.csv</x:v>
      </x:c>
      <x:c r="B21" s="28" t="str">
        <x:v>PID landing</x:v>
      </x:c>
      <x:c r="C21" s="41" t="n">
        <x:v>1079</x:v>
      </x:c>
      <x:c r="D21" s="40" t="n">
        <x:v>38.94753219999984</x:v>
      </x:c>
      <x:c r="E21" s="40" t="n">
        <x:v>538.610046</x:v>
      </x:c>
      <x:c r="F21" s="40" t="n">
        <x:v>9.405354</x:v>
      </x:c>
      <x:c r="G21" s="40" t="str">
        <x:v>Approach</x:v>
      </x:c>
      <x:c r="H21" s="40" t="str">
        <x:v>1</x:v>
      </x:c>
      <x:c r="I21" s="40" t="str">
        <x:v>1</x:v>
      </x:c>
      <x:c r="J21" s="41" t="n">
        <x:v>0</x:v>
      </x:c>
      <x:c r="K21" s="41" t="n">
        <x:v>0</x:v>
      </x:c>
      <x:c r="L21" s="41" t="n">
        <x:v>0</x:v>
      </x:c>
      <x:c r="M21" s="41" t="n">
        <x:v>0</x:v>
      </x:c>
      <x:c r="N21" s="28" t="str">
        <x:v>Завершён</x:v>
      </x:c>
      <x:c r="O21" s="28" t="str">
        <x:v>Предыдущий PID-прогон посадки; см. разбивку по высотам</x:v>
      </x:c>
      <x:c r="P21" s="28" t="str">
        <x:v>C:\Users\user\Documents\aviacia_v2\logs\ics_pid_20260722_155752.csv</x:v>
      </x:c>
    </x:row>
    <x:row r="22">
      <x:c r="A22" s="28" t="str">
        <x:v>ics_pid_20260722_160818.csv</x:v>
      </x:c>
      <x:c r="B22" s="28" t="str">
        <x:v>PID landing</x:v>
      </x:c>
      <x:c r="C22" s="41" t="n">
        <x:v>1158</x:v>
      </x:c>
      <x:c r="D22" s="40" t="n">
        <x:v>42.860582699999895</x:v>
      </x:c>
      <x:c r="E22" s="40" t="n">
        <x:v>536.6094</x:v>
      </x:c>
      <x:c r="F22" s="40" t="n">
        <x:v>1.44398594</x:v>
      </x:c>
      <x:c r="G22" s="40" t="str">
        <x:v>Approach</x:v>
      </x:c>
      <x:c r="H22" s="40" t="str">
        <x:v>1</x:v>
      </x:c>
      <x:c r="I22" s="40" t="str">
        <x:v>1</x:v>
      </x:c>
      <x:c r="J22" s="41" t="n">
        <x:v>0</x:v>
      </x:c>
      <x:c r="K22" s="41" t="n">
        <x:v>0</x:v>
      </x:c>
      <x:c r="L22" s="41" t="n">
        <x:v>0</x:v>
      </x:c>
      <x:c r="M22" s="41" t="n">
        <x:v>0</x:v>
      </x:c>
      <x:c r="N22" s="28" t="str">
        <x:v>Завершён</x:v>
      </x:c>
      <x:c r="O22" s="28" t="str">
        <x:v>Предыдущий PID-прогон посадки; см. разбивку по высотам</x:v>
      </x:c>
      <x:c r="P22" s="28" t="str">
        <x:v>C:\Users\user\Documents\aviacia_v2\logs\ics_pid_20260722_160818.csv</x:v>
      </x:c>
    </x:row>
    <x:row r="23">
      <x:c r="A23" s="28" t="str">
        <x:v>ics_pid_20260722_161244.csv</x:v>
      </x:c>
      <x:c r="B23" s="28" t="str">
        <x:v>PID landing</x:v>
      </x:c>
      <x:c r="C23" s="41" t="n">
        <x:v>1087</x:v>
      </x:c>
      <x:c r="D23" s="40" t="n">
        <x:v>38.50674019999997</x:v>
      </x:c>
      <x:c r="E23" s="40" t="n">
        <x:v>489.6468</x:v>
      </x:c>
      <x:c r="F23" s="40" t="n">
        <x:v>34.01909</x:v>
      </x:c>
      <x:c r="G23" s="40" t="str">
        <x:v>Approach</x:v>
      </x:c>
      <x:c r="H23" s="40" t="str">
        <x:v>1</x:v>
      </x:c>
      <x:c r="I23" s="40" t="str">
        <x:v>1</x:v>
      </x:c>
      <x:c r="J23" s="41" t="n">
        <x:v>0</x:v>
      </x:c>
      <x:c r="K23" s="41" t="n">
        <x:v>0</x:v>
      </x:c>
      <x:c r="L23" s="41" t="n">
        <x:v>0</x:v>
      </x:c>
      <x:c r="M23" s="41" t="n">
        <x:v>0</x:v>
      </x:c>
      <x:c r="N23" s="28" t="str">
        <x:v>Завершён</x:v>
      </x:c>
      <x:c r="O23" s="28" t="str">
        <x:v>Предыдущий PID-прогон посадки; см. разбивку по высотам</x:v>
      </x:c>
      <x:c r="P23" s="28" t="str">
        <x:v>C:\Users\user\Documents\aviacia_v2\logs\ics_pid_20260722_161244.csv</x:v>
      </x:c>
    </x:row>
    <x:row r="24">
      <x:c r="A24" s="28" t="str">
        <x:v>ics_pid_20260722_161639.csv</x:v>
      </x:c>
      <x:c r="B24" s="28" t="str">
        <x:v>PID landing</x:v>
      </x:c>
      <x:c r="C24" s="41" t="n">
        <x:v>1211</x:v>
      </x:c>
      <x:c r="D24" s="40" t="n">
        <x:v>43.23274300000003</x:v>
      </x:c>
      <x:c r="E24" s="40" t="n">
        <x:v>510.894318</x:v>
      </x:c>
      <x:c r="F24" s="40" t="n">
        <x:v>0.288638115</x:v>
      </x:c>
      <x:c r="G24" s="40" t="str">
        <x:v>Approach → Landing</x:v>
      </x:c>
      <x:c r="H24" s="40" t="str">
        <x:v>1</x:v>
      </x:c>
      <x:c r="I24" s="40" t="str">
        <x:v>0</x:v>
      </x:c>
      <x:c r="J24" s="41" t="n">
        <x:v>0</x:v>
      </x:c>
      <x:c r="K24" s="41" t="n">
        <x:v>0</x:v>
      </x:c>
      <x:c r="L24" s="41" t="n">
        <x:v>0</x:v>
      </x:c>
      <x:c r="M24" s="41" t="n">
        <x:v>0</x:v>
      </x:c>
      <x:c r="N24" s="28" t="str">
        <x:v>ICS became inactive</x:v>
      </x:c>
      <x:c r="O24" s="28" t="str">
        <x:v>Предыдущий PID-прогон посадки; см. разбивку по высотам</x:v>
      </x:c>
      <x:c r="P24" s="28" t="str">
        <x:v>C:\Users\user\Documents\aviacia_v2\logs\ics_pid_20260722_161639.csv</x:v>
      </x:c>
    </x:row>
    <x:row r="25">
      <x:c r="A25" s="28" t="str">
        <x:v>ics_pid_20260722_162132.csv</x:v>
      </x:c>
      <x:c r="B25" s="28" t="str">
        <x:v>PID landing</x:v>
      </x:c>
      <x:c r="C25" s="41" t="n">
        <x:v>1264</x:v>
      </x:c>
      <x:c r="D25" s="40" t="n">
        <x:v>45.176405799999884</x:v>
      </x:c>
      <x:c r="E25" s="40" t="n">
        <x:v>539.714966</x:v>
      </x:c>
      <x:c r="F25" s="40" t="n">
        <x:v>0.325581551</x:v>
      </x:c>
      <x:c r="G25" s="40" t="str">
        <x:v>Approach → Landing</x:v>
      </x:c>
      <x:c r="H25" s="40" t="str">
        <x:v>1</x:v>
      </x:c>
      <x:c r="I25" s="40" t="str">
        <x:v>0</x:v>
      </x:c>
      <x:c r="J25" s="41" t="n">
        <x:v>0</x:v>
      </x:c>
      <x:c r="K25" s="41" t="n">
        <x:v>0</x:v>
      </x:c>
      <x:c r="L25" s="41" t="n">
        <x:v>0</x:v>
      </x:c>
      <x:c r="M25" s="41" t="n">
        <x:v>0</x:v>
      </x:c>
      <x:c r="N25" s="28" t="str">
        <x:v>ICS became inactive</x:v>
      </x:c>
      <x:c r="O25" s="28" t="str">
        <x:v>Предыдущий PID-прогон посадки; см. разбивку по высотам</x:v>
      </x:c>
      <x:c r="P25" s="28" t="str">
        <x:v>C:\Users\user\Documents\aviacia_v2\logs\ics_pid_20260722_162132.csv</x:v>
      </x:c>
    </x:row>
    <x:row r="26">
      <x:c r="A26" s="28" t="str">
        <x:v>ics_pid_20260722_171133.csv</x:v>
      </x:c>
      <x:c r="B26" s="28" t="str">
        <x:v>PID landing</x:v>
      </x:c>
      <x:c r="C26" s="41" t="n">
        <x:v>1251</x:v>
      </x:c>
      <x:c r="D26" s="40" t="n">
        <x:v>45.12567649999994</x:v>
      </x:c>
      <x:c r="E26" s="40" t="n">
        <x:v>540.7197</x:v>
      </x:c>
      <x:c r="F26" s="40" t="n">
        <x:v>0.278858185</x:v>
      </x:c>
      <x:c r="G26" s="40" t="str">
        <x:v>Approach → Landing</x:v>
      </x:c>
      <x:c r="H26" s="40" t="str">
        <x:v>1</x:v>
      </x:c>
      <x:c r="I26" s="40" t="str">
        <x:v>0</x:v>
      </x:c>
      <x:c r="J26" s="41" t="n">
        <x:v>0</x:v>
      </x:c>
      <x:c r="K26" s="41" t="n">
        <x:v>0</x:v>
      </x:c>
      <x:c r="L26" s="41" t="n">
        <x:v>0</x:v>
      </x:c>
      <x:c r="M26" s="41" t="n">
        <x:v>0</x:v>
      </x:c>
      <x:c r="N26" s="28" t="str">
        <x:v>ICS became inactive</x:v>
      </x:c>
      <x:c r="O26" s="28" t="str">
        <x:v>Предыдущий PID-прогон посадки; см. разбивку по высотам</x:v>
      </x:c>
      <x:c r="P26" s="28" t="str">
        <x:v>C:\Users\user\Documents\aviacia_v2\logs\ics_pid_20260722_171133.csv</x:v>
      </x:c>
    </x:row>
    <x:row r="27">
      <x:c r="A27" s="28" t="str">
        <x:v>ics_pid_20260722_173845.csv</x:v>
      </x:c>
      <x:c r="B27" s="28" t="str">
        <x:v>PID landing</x:v>
      </x:c>
      <x:c r="C27" s="41" t="n">
        <x:v>1143</x:v>
      </x:c>
      <x:c r="D27" s="40" t="n">
        <x:v>41.08513819999962</x:v>
      </x:c>
      <x:c r="E27" s="40" t="n">
        <x:v>530.2741</x:v>
      </x:c>
      <x:c r="F27" s="40" t="n">
        <x:v>0.537286758</x:v>
      </x:c>
      <x:c r="G27" s="40" t="str">
        <x:v>Approach</x:v>
      </x:c>
      <x:c r="H27" s="40" t="str">
        <x:v>1</x:v>
      </x:c>
      <x:c r="I27" s="40" t="str">
        <x:v>1</x:v>
      </x:c>
      <x:c r="J27" s="41" t="n">
        <x:v>0</x:v>
      </x:c>
      <x:c r="K27" s="41" t="n">
        <x:v>0</x:v>
      </x:c>
      <x:c r="L27" s="41" t="n">
        <x:v>0</x:v>
      </x:c>
      <x:c r="M27" s="41" t="n">
        <x:v>0</x:v>
      </x:c>
      <x:c r="N27" s="28" t="str">
        <x:v>Завершён</x:v>
      </x:c>
      <x:c r="O27" s="28" t="str">
        <x:v>Предыдущий PID-прогон посадки; см. разбивку по высотам</x:v>
      </x:c>
      <x:c r="P27" s="28" t="str">
        <x:v>C:\Users\user\Documents\aviacia_v2\logs\ics_pid_20260722_173845.csv</x:v>
      </x:c>
    </x:row>
  </x:sheetData>
  <x:pageMargins left="0.7" right="0.7" top="0.75" bottom="0.75" header="0.3" footer="0.3"/>
  <x:tableParts count="1">
    <x:tablePart xmlns:r="http://schemas.openxmlformats.org/officeDocument/2006/relationships" r:id="R7104633e373948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  <x:col min="23" max="23" width="18" hidden="0" customWidth="1"/>
    <x:col min="24" max="24" width="54" hidden="0" customWidth="1"/>
  </x:cols>
  <x:sheetData>
    <x:row r="1" ht="34" customHeight="1">
      <x:c r="A1" s="13" t="str">
        <x:v>Лог</x:v>
      </x:c>
      <x:c r="B1" s="24" t="str">
        <x:v>Тип теста</x:v>
      </x:c>
      <x:c r="C1" s="24" t="str">
        <x:v>Сегмент</x:v>
      </x:c>
      <x:c r="D1" s="24" t="str">
        <x:v>Ось</x:v>
      </x:c>
      <x:c r="E1" s="24" t="str">
        <x:v>ControlMode</x:v>
      </x:c>
      <x:c r="F1" s="24" t="str">
        <x:v>Target RA, ft</x:v>
      </x:c>
      <x:c r="G1" s="24" t="str">
        <x:v>Actual RA start, ft</x:v>
      </x:c>
      <x:c r="H1" s="24" t="str">
        <x:v>Actual RA end, ft</x:v>
      </x:c>
      <x:c r="I1" s="24" t="str">
        <x:v>t start, s</x:v>
      </x:c>
      <x:c r="J1" s="24" t="str">
        <x:v>t end, s</x:v>
      </x:c>
      <x:c r="K1" s="24" t="str">
        <x:v>ElevatorCmd, g</x:v>
      </x:c>
      <x:c r="L1" s="24" t="str">
        <x:v>AileronCmd, deg</x:v>
      </x:c>
      <x:c r="M1" s="24" t="str">
        <x:v>Δ Elevator avg, deg</x:v>
      </x:c>
      <x:c r="N1" s="24" t="str">
        <x:v>Δ Aileron diff, deg</x:v>
      </x:c>
      <x:c r="O1" s="24" t="str">
        <x:v>Δ Pitch, deg</x:v>
      </x:c>
      <x:c r="P1" s="24" t="str">
        <x:v>Δ Roll, deg</x:v>
      </x:c>
      <x:c r="Q1" s="24" t="str">
        <x:v>Pitch rate min</x:v>
      </x:c>
      <x:c r="R1" s="24" t="str">
        <x:v>Pitch rate max</x:v>
      </x:c>
      <x:c r="S1" s="24" t="str">
        <x:v>Roll rate min</x:v>
      </x:c>
      <x:c r="T1" s="24" t="str">
        <x:v>Roll rate max</x:v>
      </x:c>
      <x:c r="U1" s="24" t="str">
        <x:v>|Δ surface|</x:v>
      </x:c>
      <x:c r="V1" s="24" t="str">
        <x:v>Вердикт</x:v>
      </x:c>
      <x:c r="W1" s="24" t="str">
        <x:v>Agent active</x:v>
      </x:c>
      <x:c r="X1" s="14" t="str">
        <x:v>Источник</x:v>
      </x:c>
    </x:row>
    <x:row r="2">
      <x:c r="A2" t="str">
        <x:v>ics_altitude_authority_20260722_184031.csv</x:v>
      </x:c>
      <x:c r="B2" t="str">
        <x:v>Altitude authority</x:v>
      </x:c>
      <x:c r="C2" t="str">
        <x:v>pitch_400ft</x:v>
      </x:c>
      <x:c r="D2" t="str">
        <x:v>pitch</x:v>
      </x:c>
      <x:c r="E2" t="str">
        <x:v>Approach</x:v>
      </x:c>
      <x:c r="F2" s="40" t="n">
        <x:v>400</x:v>
      </x:c>
      <x:c r="G2" s="40" t="n">
        <x:v>399.809418</x:v>
      </x:c>
      <x:c r="H2" s="40" t="n">
        <x:v>396.862579</x:v>
      </x:c>
      <x:c r="I2" s="40" t="n">
        <x:v>11.335322099999757</x:v>
      </x:c>
      <x:c r="J2" s="40" t="n">
        <x:v>11.537519299999985</x:v>
      </x:c>
      <x:c r="K2" s="40" t="n">
        <x:v>0.5</x:v>
      </x:c>
      <x:c r="L2" s="40" t="n">
        <x:v>0</x:v>
      </x:c>
      <x:c r="M2" s="40" t="n">
        <x:v>-5.481680525</x:v>
      </x:c>
      <x:c r="N2" s="40" t="n">
        <x:v>0.00238779450000004</x:v>
      </x:c>
      <x:c r="O2" s="40" t="n">
        <x:v>0.014175419999999939</x:v>
      </x:c>
      <x:c r="P2" s="40" t="n">
        <x:v>0.030029300000000037</x:v>
      </x:c>
      <x:c r="Q2" s="40" t="n">
        <x:v>0.000565272931</x:v>
      </x:c>
      <x:c r="R2" s="40" t="n">
        <x:v>0.2734919</x:v>
      </x:c>
      <x:c r="S2" s="40" t="n">
        <x:v>0.124233581</x:v>
      </x:c>
      <x:c r="T2" s="40" t="n">
        <x:v>0.1253182</x:v>
      </x:c>
      <x:c r="U2" s="40" t="n">
        <x:f>IF(D2="pitch",ABS(M2),ABS(N2))</x:f>
        <x:v>5.481680525</x:v>
      </x:c>
      <x:c r="V2" t="str">
        <x:f>IF(U2&gt;=1,"РАБОТАЕТ",IF(U2&gt;=0.1,"СЛАБО","НЕТ РЕАКЦИИ"))</x:f>
        <x:v>РАБОТАЕТ</x:v>
      </x:c>
      <x:c r="W2" t="str">
        <x:v>1</x:v>
      </x:c>
      <x:c r="X2" t="str">
        <x:v>C:\Users\user\Documents\aviacia_v2\logs\ics_altitude_authority_20260722_184031.csv</x:v>
      </x:c>
    </x:row>
    <x:row r="3">
      <x:c r="A3" t="str">
        <x:v>ics_altitude_authority_20260722_184031.csv</x:v>
      </x:c>
      <x:c r="B3" t="str">
        <x:v>Altitude authority</x:v>
      </x:c>
      <x:c r="C3" t="str">
        <x:v>roll_400ft</x:v>
      </x:c>
      <x:c r="D3" t="str">
        <x:v>roll</x:v>
      </x:c>
      <x:c r="E3" t="str">
        <x:v>Approach</x:v>
      </x:c>
      <x:c r="F3" s="40" t="n">
        <x:v>400</x:v>
      </x:c>
      <x:c r="G3" s="40" t="n">
        <x:v>387.4281</x:v>
      </x:c>
      <x:c r="H3" s="40" t="n">
        <x:v>384.262726</x:v>
      </x:c>
      <x:c r="I3" s="40" t="n">
        <x:v>12.352402800000164</x:v>
      </x:c>
      <x:c r="J3" s="40" t="n">
        <x:v>12.554864900000211</x:v>
      </x:c>
      <x:c r="K3" s="40" t="n">
        <x:v>0</x:v>
      </x:c>
      <x:c r="L3" s="40" t="n">
        <x:v>5</x:v>
      </x:c>
      <x:c r="M3" s="40" t="n">
        <x:v>-0.391091345</x:v>
      </x:c>
      <x:c r="N3" s="40" t="n">
        <x:v>-4.4598847825</x:v>
      </x:c>
      <x:c r="O3" s="40" t="n">
        <x:v>0.14120482</x:v>
      </x:c>
      <x:c r="P3" s="40" t="n">
        <x:v>0.02256775000000011</x:v>
      </x:c>
      <x:c r="Q3" s="40" t="n">
        <x:v>0.454418778</x:v>
      </x:c>
      <x:c r="R3" s="40" t="n">
        <x:v>0.7491323</x:v>
      </x:c>
      <x:c r="S3" s="40" t="n">
        <x:v>-0.0455827937</x:v>
      </x:c>
      <x:c r="T3" s="40" t="n">
        <x:v>0.130223542</x:v>
      </x:c>
      <x:c r="U3" s="40" t="n">
        <x:f>IF(D3="pitch",ABS(M3),ABS(N3))</x:f>
        <x:v>4.4598847825</x:v>
      </x:c>
      <x:c r="V3" t="str">
        <x:f>IF(U3&gt;=1,"РАБОТАЕТ",IF(U3&gt;=0.1,"СЛАБО","НЕТ РЕАКЦИИ"))</x:f>
        <x:v>РАБОТАЕТ</x:v>
      </x:c>
      <x:c r="W3" t="str">
        <x:v>1</x:v>
      </x:c>
      <x:c r="X3" t="str">
        <x:v>C:\Users\user\Documents\aviacia_v2\logs\ics_altitude_authority_20260722_184031.csv</x:v>
      </x:c>
    </x:row>
    <x:row r="4">
      <x:c r="A4" t="str">
        <x:v>ics_altitude_authority_20260722_184031.csv</x:v>
      </x:c>
      <x:c r="B4" t="str">
        <x:v>Altitude authority</x:v>
      </x:c>
      <x:c r="C4" t="str">
        <x:v>pitch_300ft</x:v>
      </x:c>
      <x:c r="D4" t="str">
        <x:v>pitch</x:v>
      </x:c>
      <x:c r="E4" t="str">
        <x:v>Approach</x:v>
      </x:c>
      <x:c r="F4" s="40" t="n">
        <x:v>300</x:v>
      </x:c>
      <x:c r="G4" s="40" t="n">
        <x:v>299.858246</x:v>
      </x:c>
      <x:c r="H4" s="40" t="n">
        <x:v>297.5398</x:v>
      </x:c>
      <x:c r="I4" s="40" t="n">
        <x:v>21.523091799999747</x:v>
      </x:c>
      <x:c r="J4" s="40" t="n">
        <x:v>21.708087300000443</x:v>
      </x:c>
      <x:c r="K4" s="40" t="n">
        <x:v>0.5</x:v>
      </x:c>
      <x:c r="L4" s="40" t="n">
        <x:v>0</x:v>
      </x:c>
      <x:c r="M4" s="40" t="n">
        <x:v>-0.0057294346</x:v>
      </x:c>
      <x:c r="N4" s="40" t="n">
        <x:v>-0.031357120000000016</x:v>
      </x:c>
      <x:c r="O4" s="40" t="n">
        <x:v>-0.002243050000000135</x:v>
      </x:c>
      <x:c r="P4" s="40" t="n">
        <x:v>0.030624389999999835</x:v>
      </x:c>
      <x:c r="Q4" s="40" t="n">
        <x:v>0.002307904</x:v>
      </x:c>
      <x:c r="R4" s="40" t="n">
        <x:v>0.002393011</x:v>
      </x:c>
      <x:c r="S4" s="40" t="n">
        <x:v>0.118053682</x:v>
      </x:c>
      <x:c r="T4" s="40" t="n">
        <x:v>0.11936944</x:v>
      </x:c>
      <x:c r="U4" s="40" t="n">
        <x:f>IF(D4="pitch",ABS(M4),ABS(N4))</x:f>
        <x:v>0.0057294346</x:v>
      </x:c>
      <x:c r="V4" t="str">
        <x:f>IF(U4&gt;=1,"РАБОТАЕТ",IF(U4&gt;=0.1,"СЛАБО","НЕТ РЕАКЦИИ"))</x:f>
        <x:v>НЕТ РЕАКЦИИ</x:v>
      </x:c>
      <x:c r="W4" t="str">
        <x:v>1</x:v>
      </x:c>
      <x:c r="X4" t="str">
        <x:v>C:\Users\user\Documents\aviacia_v2\logs\ics_altitude_authority_20260722_184031.csv</x:v>
      </x:c>
    </x:row>
    <x:row r="5">
      <x:c r="A5" t="str">
        <x:v>ics_altitude_authority_20260722_184031.csv</x:v>
      </x:c>
      <x:c r="B5" t="str">
        <x:v>Altitude authority</x:v>
      </x:c>
      <x:c r="C5" t="str">
        <x:v>roll_300ft</x:v>
      </x:c>
      <x:c r="D5" t="str">
        <x:v>roll</x:v>
      </x:c>
      <x:c r="E5" t="str">
        <x:v>Approach</x:v>
      </x:c>
      <x:c r="F5" s="40" t="n">
        <x:v>300</x:v>
      </x:c>
      <x:c r="G5" s="40" t="n">
        <x:v>290.436951</x:v>
      </x:c>
      <x:c r="H5" s="40" t="n">
        <x:v>288.183167</x:v>
      </x:c>
      <x:c r="I5" s="40" t="n">
        <x:v>22.493582400000378</x:v>
      </x:c>
      <x:c r="J5" s="40" t="n">
        <x:v>22.691995500000303</x:v>
      </x:c>
      <x:c r="K5" s="40" t="n">
        <x:v>0</x:v>
      </x:c>
      <x:c r="L5" s="40" t="n">
        <x:v>-5</x:v>
      </x:c>
      <x:c r="M5" s="40" t="n">
        <x:v>-0.007733563899999997</x:v>
      </x:c>
      <x:c r="N5" s="40" t="n">
        <x:v>-0.02135385350000002</x:v>
      </x:c>
      <x:c r="O5" s="40" t="n">
        <x:v>-0.0022888299999999084</x:v>
      </x:c>
      <x:c r="P5" s="40" t="n">
        <x:v>0.02340688000000002</x:v>
      </x:c>
      <x:c r="Q5" s="40" t="n">
        <x:v>0.00325130671</x:v>
      </x:c>
      <x:c r="R5" s="40" t="n">
        <x:v>0.00375043554</x:v>
      </x:c>
      <x:c r="S5" s="40" t="n">
        <x:v>0.08219514</x:v>
      </x:c>
      <x:c r="T5" s="40" t="n">
        <x:v>0.09040654</x:v>
      </x:c>
      <x:c r="U5" s="40" t="n">
        <x:f>IF(D5="pitch",ABS(M5),ABS(N5))</x:f>
        <x:v>0.02135385350000002</x:v>
      </x:c>
      <x:c r="V5" t="str">
        <x:f>IF(U5&gt;=1,"РАБОТАЕТ",IF(U5&gt;=0.1,"СЛАБО","НЕТ РЕАКЦИИ"))</x:f>
        <x:v>НЕТ РЕАКЦИИ</x:v>
      </x:c>
      <x:c r="W5" t="str">
        <x:v>1</x:v>
      </x:c>
      <x:c r="X5" t="str">
        <x:v>C:\Users\user\Documents\aviacia_v2\logs\ics_altitude_authority_20260722_184031.csv</x:v>
      </x:c>
    </x:row>
    <x:row r="6">
      <x:c r="A6" t="str">
        <x:v>ics_altitude_authority_20260722_184031.csv</x:v>
      </x:c>
      <x:c r="B6" t="str">
        <x:v>Altitude authority</x:v>
      </x:c>
      <x:c r="C6" t="str">
        <x:v>pitch_200ft</x:v>
      </x:c>
      <x:c r="D6" t="str">
        <x:v>pitch</x:v>
      </x:c>
      <x:c r="E6" t="str">
        <x:v>Approach</x:v>
      </x:c>
      <x:c r="F6" s="40" t="n">
        <x:v>200</x:v>
      </x:c>
      <x:c r="G6" s="40" t="n">
        <x:v>199.686691</x:v>
      </x:c>
      <x:c r="H6" s="40" t="n">
        <x:v>196.820435</x:v>
      </x:c>
      <x:c r="I6" s="40" t="n">
        <x:v>31.319531000000097</x:v>
      </x:c>
      <x:c r="J6" s="40" t="n">
        <x:v>31.53333819999989</x:v>
      </x:c>
      <x:c r="K6" s="40" t="n">
        <x:v>0.5</x:v>
      </x:c>
      <x:c r="L6" s="40" t="n">
        <x:v>0</x:v>
      </x:c>
      <x:c r="M6" s="40" t="n">
        <x:v>-0.003998793499999986</x:v>
      </x:c>
      <x:c r="N6" s="40" t="n">
        <x:v>-0.0008065735000000185</x:v>
      </x:c>
      <x:c r="O6" s="40" t="n">
        <x:v>0.0005950899999995762</x:v>
      </x:c>
      <x:c r="P6" s="40" t="n">
        <x:v>-0.0026092499999998964</x:v>
      </x:c>
      <x:c r="Q6" s="40" t="n">
        <x:v>0.0173570346</x:v>
      </x:c>
      <x:c r="R6" s="40" t="n">
        <x:v>0.0174450222</x:v>
      </x:c>
      <x:c r="S6" s="40" t="n">
        <x:v>-0.0256468039</x:v>
      </x:c>
      <x:c r="T6" s="40" t="n">
        <x:v>-0.0253857747</x:v>
      </x:c>
      <x:c r="U6" s="40" t="n">
        <x:f>IF(D6="pitch",ABS(M6),ABS(N6))</x:f>
        <x:v>0.003998793499999986</x:v>
      </x:c>
      <x:c r="V6" t="str">
        <x:f>IF(U6&gt;=1,"РАБОТАЕТ",IF(U6&gt;=0.1,"СЛАБО","НЕТ РЕАКЦИИ"))</x:f>
        <x:v>НЕТ РЕАКЦИИ</x:v>
      </x:c>
      <x:c r="W6" t="str">
        <x:v>1</x:v>
      </x:c>
      <x:c r="X6" t="str">
        <x:v>C:\Users\user\Documents\aviacia_v2\logs\ics_altitude_authority_20260722_184031.csv</x:v>
      </x:c>
    </x:row>
    <x:row r="7">
      <x:c r="A7" t="str">
        <x:v>ics_altitude_authority_20260722_184031.csv</x:v>
      </x:c>
      <x:c r="B7" t="str">
        <x:v>Altitude authority</x:v>
      </x:c>
      <x:c r="C7" t="str">
        <x:v>roll_200ft</x:v>
      </x:c>
      <x:c r="D7" t="str">
        <x:v>roll</x:v>
      </x:c>
      <x:c r="E7" t="str">
        <x:v>Approach</x:v>
      </x:c>
      <x:c r="F7" s="40" t="n">
        <x:v>200</x:v>
      </x:c>
      <x:c r="G7" s="40" t="n">
        <x:v>189.056824</x:v>
      </x:c>
      <x:c r="H7" s="40" t="n">
        <x:v>186.500244</x:v>
      </x:c>
      <x:c r="I7" s="40" t="n">
        <x:v>32.30786830000034</x:v>
      </x:c>
      <x:c r="J7" s="40" t="n">
        <x:v>32.52688820000003</x:v>
      </x:c>
      <x:c r="K7" s="40" t="n">
        <x:v>0</x:v>
      </x:c>
      <x:c r="L7" s="40" t="n">
        <x:v>5</x:v>
      </x:c>
      <x:c r="M7" s="40" t="n">
        <x:v>-0.0036763394999999865</x:v>
      </x:c>
      <x:c r="N7" s="40" t="n">
        <x:v>-0.0005448475000000563</x:v>
      </x:c>
      <x:c r="O7" s="40" t="n">
        <x:v>0.0006866399999996275</x:v>
      </x:c>
      <x:c r="P7" s="40" t="n">
        <x:v>-0.0028381299999997722</x:v>
      </x:c>
      <x:c r="Q7" s="40" t="n">
        <x:v>0.0176622216</x:v>
      </x:c>
      <x:c r="R7" s="40" t="n">
        <x:v>0.0177070852</x:v>
      </x:c>
      <x:c r="S7" s="40" t="n">
        <x:v>-0.0264161862</x:v>
      </x:c>
      <x:c r="T7" s="40" t="n">
        <x:v>-0.02628163</x:v>
      </x:c>
      <x:c r="U7" s="40" t="n">
        <x:f>IF(D7="pitch",ABS(M7),ABS(N7))</x:f>
        <x:v>0.0005448475000000563</x:v>
      </x:c>
      <x:c r="V7" t="str">
        <x:f>IF(U7&gt;=1,"РАБОТАЕТ",IF(U7&gt;=0.1,"СЛАБО","НЕТ РЕАКЦИИ"))</x:f>
        <x:v>НЕТ РЕАКЦИИ</x:v>
      </x:c>
      <x:c r="W7" t="str">
        <x:v>1</x:v>
      </x:c>
      <x:c r="X7" t="str">
        <x:v>C:\Users\user\Documents\aviacia_v2\logs\ics_altitude_authority_20260722_184031.csv</x:v>
      </x:c>
    </x:row>
    <x:row r="8">
      <x:c r="A8" t="str">
        <x:v>ics_altitude_authority_20260722_184422.csv</x:v>
      </x:c>
      <x:c r="B8" t="str">
        <x:v>Altitude authority</x:v>
      </x:c>
      <x:c r="C8" t="str">
        <x:v>pitch_400ft</x:v>
      </x:c>
      <x:c r="D8" t="str">
        <x:v>pitch</x:v>
      </x:c>
      <x:c r="E8" t="str">
        <x:v>Approach</x:v>
      </x:c>
      <x:c r="F8" s="40" t="n">
        <x:v>400</x:v>
      </x:c>
      <x:c r="G8" s="40" t="n">
        <x:v>399.743866</x:v>
      </x:c>
      <x:c r="H8" s="40" t="n">
        <x:v>396.075958</x:v>
      </x:c>
      <x:c r="I8" s="40" t="n">
        <x:v>10.335772799999177</x:v>
      </x:c>
      <x:c r="J8" s="40" t="n">
        <x:v>10.53274109999984</x:v>
      </x:c>
      <x:c r="K8" s="40" t="n">
        <x:v>0.5</x:v>
      </x:c>
      <x:c r="L8" s="40" t="n">
        <x:v>0</x:v>
      </x:c>
      <x:c r="M8" s="40" t="n">
        <x:v>-6.42408468</x:v>
      </x:c>
      <x:c r="N8" s="40" t="n">
        <x:v>0.0033474714999999766</x:v>
      </x:c>
      <x:c r="O8" s="40" t="n">
        <x:v>0.02436828000000002</x:v>
      </x:c>
      <x:c r="P8" s="40" t="n">
        <x:v>0.030700740000000115</x:v>
      </x:c>
      <x:c r="Q8" s="40" t="n">
        <x:v>-0.0113023911</x:v>
      </x:c>
      <x:c r="R8" s="40" t="n">
        <x:v>0.397749931</x:v>
      </x:c>
      <x:c r="S8" s="40" t="n">
        <x:v>0.112634756</x:v>
      </x:c>
      <x:c r="T8" s="40" t="n">
        <x:v>0.113963723</x:v>
      </x:c>
      <x:c r="U8" s="40" t="n">
        <x:f>IF(D8="pitch",ABS(M8),ABS(N8))</x:f>
        <x:v>6.42408468</x:v>
      </x:c>
      <x:c r="V8" t="str">
        <x:f>IF(U8&gt;=1,"РАБОТАЕТ",IF(U8&gt;=0.1,"СЛАБО","НЕТ РЕАКЦИИ"))</x:f>
        <x:v>РАБОТАЕТ</x:v>
      </x:c>
      <x:c r="W8" t="str">
        <x:v>1</x:v>
      </x:c>
      <x:c r="X8" t="str">
        <x:v>C:\Users\user\Documents\aviacia_v2\logs\ics_altitude_authority_20260722_184422.csv</x:v>
      </x:c>
    </x:row>
    <x:row r="9">
      <x:c r="A9" t="str">
        <x:v>ics_altitude_authority_20260722_184422.csv</x:v>
      </x:c>
      <x:c r="B9" t="str">
        <x:v>Altitude authority</x:v>
      </x:c>
      <x:c r="C9" t="str">
        <x:v>roll_400ft</x:v>
      </x:c>
      <x:c r="D9" t="str">
        <x:v>roll</x:v>
      </x:c>
      <x:c r="E9" t="str">
        <x:v>Approach</x:v>
      </x:c>
      <x:c r="F9" s="40" t="n">
        <x:v>400</x:v>
      </x:c>
      <x:c r="G9" s="40" t="n">
        <x:v>386.0235</x:v>
      </x:c>
      <x:c r="H9" s="40" t="n">
        <x:v>382.992</x:v>
      </x:c>
      <x:c r="I9" s="40" t="n">
        <x:v>11.299613599999248</x:v>
      </x:c>
      <x:c r="J9" s="40" t="n">
        <x:v>11.53026779999982</x:v>
      </x:c>
      <x:c r="K9" s="40" t="n">
        <x:v>0</x:v>
      </x:c>
      <x:c r="L9" s="40" t="n">
        <x:v>5</x:v>
      </x:c>
      <x:c r="M9" s="40" t="n">
        <x:v>-0.28157524999999994</x:v>
      </x:c>
      <x:c r="N9" s="40" t="n">
        <x:v>-4.369362674</x:v>
      </x:c>
      <x:c r="O9" s="40" t="n">
        <x:v>0.17146302000000002</x:v>
      </x:c>
      <x:c r="P9" s="40" t="n">
        <x:v>0.023269709999999888</x:v>
      </x:c>
      <x:c r="Q9" s="40" t="n">
        <x:v>0.44609952</x:v>
      </x:c>
      <x:c r="R9" s="40" t="n">
        <x:v>0.783603966</x:v>
      </x:c>
      <x:c r="S9" s="40" t="n">
        <x:v>-0.0714634</x:v>
      </x:c>
      <x:c r="T9" s="40" t="n">
        <x:v>0.119841129</x:v>
      </x:c>
      <x:c r="U9" s="40" t="n">
        <x:f>IF(D9="pitch",ABS(M9),ABS(N9))</x:f>
        <x:v>4.369362674</x:v>
      </x:c>
      <x:c r="V9" t="str">
        <x:f>IF(U9&gt;=1,"РАБОТАЕТ",IF(U9&gt;=0.1,"СЛАБО","НЕТ РЕАКЦИИ"))</x:f>
        <x:v>РАБОТАЕТ</x:v>
      </x:c>
      <x:c r="W9" t="str">
        <x:v>1</x:v>
      </x:c>
      <x:c r="X9" t="str">
        <x:v>C:\Users\user\Documents\aviacia_v2\logs\ics_altitude_authority_20260722_184422.csv</x:v>
      </x:c>
    </x:row>
    <x:row r="10">
      <x:c r="A10" t="str">
        <x:v>ics_altitude_authority_20260722_184422.csv</x:v>
      </x:c>
      <x:c r="B10" t="str">
        <x:v>Altitude authority</x:v>
      </x:c>
      <x:c r="C10" t="str">
        <x:v>pitch_300ft</x:v>
      </x:c>
      <x:c r="D10" t="str">
        <x:v>pitch</x:v>
      </x:c>
      <x:c r="E10" t="str">
        <x:v>Approach</x:v>
      </x:c>
      <x:c r="F10" s="40" t="n">
        <x:v>300</x:v>
      </x:c>
      <x:c r="G10" s="40" t="n">
        <x:v>299.914459</x:v>
      </x:c>
      <x:c r="H10" s="40" t="n">
        <x:v>297.154633</x:v>
      </x:c>
      <x:c r="I10" s="40" t="n">
        <x:v>18.961470799999915</x:v>
      </x:c>
      <x:c r="J10" s="40" t="n">
        <x:v>19.145508199999313</x:v>
      </x:c>
      <x:c r="K10" s="40" t="n">
        <x:v>0.5</x:v>
      </x:c>
      <x:c r="L10" s="40" t="n">
        <x:v>0</x:v>
      </x:c>
      <x:c r="M10" s="40" t="n">
        <x:v>-0.003739335000000066</x:v>
      </x:c>
      <x:c r="N10" s="40" t="n">
        <x:v>-2.6946168765</x:v>
      </x:c>
      <x:c r="O10" s="40" t="n">
        <x:v>-0.0030823099999999215</x:v>
      </x:c>
      <x:c r="P10" s="40" t="n">
        <x:v>0.014556830000000076</x:v>
      </x:c>
      <x:c r="Q10" s="40" t="n">
        <x:v>-0.009679318</x:v>
      </x:c>
      <x:c r="R10" s="40" t="n">
        <x:v>-0.004556908</x:v>
      </x:c>
      <x:c r="S10" s="40" t="n">
        <x:v>-0.0393285528</x:v>
      </x:c>
      <x:c r="T10" s="40" t="n">
        <x:v>0.114761829</x:v>
      </x:c>
      <x:c r="U10" s="40" t="n">
        <x:f>IF(D10="pitch",ABS(M10),ABS(N10))</x:f>
        <x:v>0.003739335000000066</x:v>
      </x:c>
      <x:c r="V10" t="str">
        <x:f>IF(U10&gt;=1,"РАБОТАЕТ",IF(U10&gt;=0.1,"СЛАБО","НЕТ РЕАКЦИИ"))</x:f>
        <x:v>НЕТ РЕАКЦИИ</x:v>
      </x:c>
      <x:c r="W10" t="str">
        <x:v>1</x:v>
      </x:c>
      <x:c r="X10" t="str">
        <x:v>C:\Users\user\Documents\aviacia_v2\logs\ics_altitude_authority_20260722_184422.csv</x:v>
      </x:c>
    </x:row>
    <x:row r="11">
      <x:c r="A11" t="str">
        <x:v>ics_altitude_authority_20260722_184422.csv</x:v>
      </x:c>
      <x:c r="B11" t="str">
        <x:v>Altitude authority</x:v>
      </x:c>
      <x:c r="C11" t="str">
        <x:v>roll_300ft</x:v>
      </x:c>
      <x:c r="D11" t="str">
        <x:v>roll</x:v>
      </x:c>
      <x:c r="E11" t="str">
        <x:v>Approach</x:v>
      </x:c>
      <x:c r="F11" s="40" t="n">
        <x:v>300</x:v>
      </x:c>
      <x:c r="G11" s="40" t="n">
        <x:v>288.331573</x:v>
      </x:c>
      <x:c r="H11" s="40" t="n">
        <x:v>285.521759</x:v>
      </x:c>
      <x:c r="I11" s="40" t="n">
        <x:v>19.946815199999946</x:v>
      </x:c>
      <x:c r="J11" s="40" t="n">
        <x:v>20.13223889999972</x:v>
      </x:c>
      <x:c r="K11" s="40" t="n">
        <x:v>0</x:v>
      </x:c>
      <x:c r="L11" s="40" t="n">
        <x:v>-5</x:v>
      </x:c>
      <x:c r="M11" s="40" t="n">
        <x:v>-0.015599808000000104</x:v>
      </x:c>
      <x:c r="N11" s="40" t="n">
        <x:v>0.16200000999999986</x:v>
      </x:c>
      <x:c r="O11" s="40" t="n">
        <x:v>-0.002441399999999927</x:v>
      </x:c>
      <x:c r="P11" s="40" t="n">
        <x:v>-0.10293579000000008</x:v>
      </x:c>
      <x:c r="Q11" s="40" t="n">
        <x:v>-0.005794537</x:v>
      </x:c>
      <x:c r="R11" s="40" t="n">
        <x:v>-0.00377294049</x:v>
      </x:c>
      <x:c r="S11" s="40" t="n">
        <x:v>-0.4598293</x:v>
      </x:c>
      <x:c r="T11" s="40" t="n">
        <x:v>-0.452583432</x:v>
      </x:c>
      <x:c r="U11" s="40" t="n">
        <x:f>IF(D11="pitch",ABS(M11),ABS(N11))</x:f>
        <x:v>0.16200000999999986</x:v>
      </x:c>
      <x:c r="V11" t="str">
        <x:f>IF(U11&gt;=1,"РАБОТАЕТ",IF(U11&gt;=0.1,"СЛАБО","НЕТ РЕАКЦИИ"))</x:f>
        <x:v>СЛАБО</x:v>
      </x:c>
      <x:c r="W11" t="str">
        <x:v>1</x:v>
      </x:c>
      <x:c r="X11" t="str">
        <x:v>C:\Users\user\Documents\aviacia_v2\logs\ics_altitude_authority_20260722_184422.csv</x:v>
      </x:c>
    </x:row>
    <x:row r="12">
      <x:c r="A12" t="str">
        <x:v>ics_altitude_authority_20260722_184422.csv</x:v>
      </x:c>
      <x:c r="B12" t="str">
        <x:v>Altitude authority</x:v>
      </x:c>
      <x:c r="C12" t="str">
        <x:v>pitch_200ft</x:v>
      </x:c>
      <x:c r="D12" t="str">
        <x:v>pitch</x:v>
      </x:c>
      <x:c r="E12" t="str">
        <x:v>Approach</x:v>
      </x:c>
      <x:c r="F12" s="40" t="n">
        <x:v>200</x:v>
      </x:c>
      <x:c r="G12" s="40" t="n">
        <x:v>199.62561</x:v>
      </x:c>
      <x:c r="H12" s="40" t="n">
        <x:v>197.08783</x:v>
      </x:c>
      <x:c r="I12" s="40" t="n">
        <x:v>27.16661859999931</x:v>
      </x:c>
      <x:c r="J12" s="40" t="n">
        <x:v>27.344815799999196</x:v>
      </x:c>
      <x:c r="K12" s="40" t="n">
        <x:v>0.5</x:v>
      </x:c>
      <x:c r="L12" s="40" t="n">
        <x:v>0</x:v>
      </x:c>
      <x:c r="M12" s="40" t="n">
        <x:v>-0.0056957755</x:v>
      </x:c>
      <x:c r="N12" s="40" t="n">
        <x:v>0.005262549000000005</x:v>
      </x:c>
      <x:c r="O12" s="40" t="n">
        <x:v>0.0004119899999999177</x:v>
      </x:c>
      <x:c r="P12" s="40" t="n">
        <x:v>-0.010070799999999991</x:v>
      </x:c>
      <x:c r="Q12" s="40" t="n">
        <x:v>0.0017697385</x:v>
      </x:c>
      <x:c r="R12" s="40" t="n">
        <x:v>0.00203432352</x:v>
      </x:c>
      <x:c r="S12" s="40" t="n">
        <x:v>-0.0460587069</x:v>
      </x:c>
      <x:c r="T12" s="40" t="n">
        <x:v>-0.0431711935</x:v>
      </x:c>
      <x:c r="U12" s="40" t="n">
        <x:f>IF(D12="pitch",ABS(M12),ABS(N12))</x:f>
        <x:v>0.0056957755</x:v>
      </x:c>
      <x:c r="V12" t="str">
        <x:f>IF(U12&gt;=1,"РАБОТАЕТ",IF(U12&gt;=0.1,"СЛАБО","НЕТ РЕАКЦИИ"))</x:f>
        <x:v>НЕТ РЕАКЦИИ</x:v>
      </x:c>
      <x:c r="W12" t="str">
        <x:v>1</x:v>
      </x:c>
      <x:c r="X12" t="str">
        <x:v>C:\Users\user\Documents\aviacia_v2\logs\ics_altitude_authority_20260722_184422.csv</x:v>
      </x:c>
    </x:row>
    <x:row r="13">
      <x:c r="A13" t="str">
        <x:v>ics_altitude_authority_20260722_184422.csv</x:v>
      </x:c>
      <x:c r="B13" t="str">
        <x:v>Altitude authority</x:v>
      </x:c>
      <x:c r="C13" t="str">
        <x:v>roll_200ft</x:v>
      </x:c>
      <x:c r="D13" t="str">
        <x:v>roll</x:v>
      </x:c>
      <x:c r="E13" t="str">
        <x:v>Approach</x:v>
      </x:c>
      <x:c r="F13" s="40" t="n">
        <x:v>200</x:v>
      </x:c>
      <x:c r="G13" s="40" t="n">
        <x:v>187.418015</x:v>
      </x:c>
      <x:c r="H13" s="40" t="n">
        <x:v>184.35643</x:v>
      </x:c>
      <x:c r="I13" s="40" t="n">
        <x:v>28.131163899999592</x:v>
      </x:c>
      <x:c r="J13" s="40" t="n">
        <x:v>28.344382999999652</x:v>
      </x:c>
      <x:c r="K13" s="40" t="n">
        <x:v>0</x:v>
      </x:c>
      <x:c r="L13" s="40" t="n">
        <x:v>5</x:v>
      </x:c>
      <x:c r="M13" s="40" t="n">
        <x:v>-0.0057983994999999955</x:v>
      </x:c>
      <x:c r="N13" s="40" t="n">
        <x:v>0.004209247500000068</x:v>
      </x:c>
      <x:c r="O13" s="40" t="n">
        <x:v>0.000671410000000261</x:v>
      </x:c>
      <x:c r="P13" s="40" t="n">
        <x:v>-0.007385254000000008</x:v>
      </x:c>
      <x:c r="Q13" s="40" t="n">
        <x:v>0.00294899079</x:v>
      </x:c>
      <x:c r="R13" s="40" t="n">
        <x:v>0.00311816181</x:v>
      </x:c>
      <x:c r="S13" s="40" t="n">
        <x:v>-0.0335373</x:v>
      </x:c>
      <x:c r="T13" s="40" t="n">
        <x:v>-0.0318319127</x:v>
      </x:c>
      <x:c r="U13" s="40" t="n">
        <x:f>IF(D13="pitch",ABS(M13),ABS(N13))</x:f>
        <x:v>0.004209247500000068</x:v>
      </x:c>
      <x:c r="V13" t="str">
        <x:f>IF(U13&gt;=1,"РАБОТАЕТ",IF(U13&gt;=0.1,"СЛАБО","НЕТ РЕАКЦИИ"))</x:f>
        <x:v>НЕТ РЕАКЦИИ</x:v>
      </x:c>
      <x:c r="W13" t="str">
        <x:v>1</x:v>
      </x:c>
      <x:c r="X13" t="str">
        <x:v>C:\Users\user\Documents\aviacia_v2\logs\ics_altitude_authority_20260722_184422.csv</x:v>
      </x:c>
    </x:row>
    <x:row r="14">
      <x:c r="A14" t="str">
        <x:v>ics_altitude_authority_20260722_184422.csv</x:v>
      </x:c>
      <x:c r="B14" t="str">
        <x:v>Altitude authority</x:v>
      </x:c>
      <x:c r="C14" t="str">
        <x:v>pitch_150ft</x:v>
      </x:c>
      <x:c r="D14" t="str">
        <x:v>pitch</x:v>
      </x:c>
      <x:c r="E14" t="str">
        <x:v>Approach</x:v>
      </x:c>
      <x:c r="F14" s="40" t="n">
        <x:v>150</x:v>
      </x:c>
      <x:c r="G14" s="40" t="n">
        <x:v>149.3255</x:v>
      </x:c>
      <x:c r="H14" s="40" t="n">
        <x:v>146.36058</x:v>
      </x:c>
      <x:c r="I14" s="40" t="n">
        <x:v>31.09433059999992</x:v>
      </x:c>
      <x:c r="J14" s="40" t="n">
        <x:v>31.296024999999645</x:v>
      </x:c>
      <x:c r="K14" s="40" t="n">
        <x:v>0.5</x:v>
      </x:c>
      <x:c r="L14" s="40" t="n">
        <x:v>0</x:v>
      </x:c>
      <x:c r="M14" s="40" t="n">
        <x:v>-0.003842659000000012</x:v>
      </x:c>
      <x:c r="N14" s="40" t="n">
        <x:v>0.0012186975000000322</x:v>
      </x:c>
      <x:c r="O14" s="40" t="n">
        <x:v>0.0011138899999996177</x:v>
      </x:c>
      <x:c r="P14" s="40" t="n">
        <x:v>-0.003311157000000009</x:v>
      </x:c>
      <x:c r="Q14" s="40" t="n">
        <x:v>0.004677062</x:v>
      </x:c>
      <x:c r="R14" s="40" t="n">
        <x:v>0.0047150366</x:v>
      </x:c>
      <x:c r="S14" s="40" t="n">
        <x:v>-0.0147343436</x:v>
      </x:c>
      <x:c r="T14" s="40" t="n">
        <x:v>-0.0140383113</x:v>
      </x:c>
      <x:c r="U14" s="40" t="n">
        <x:f>IF(D14="pitch",ABS(M14),ABS(N14))</x:f>
        <x:v>0.003842659000000012</x:v>
      </x:c>
      <x:c r="V14" t="str">
        <x:f>IF(U14&gt;=1,"РАБОТАЕТ",IF(U14&gt;=0.1,"СЛАБО","НЕТ РЕАКЦИИ"))</x:f>
        <x:v>НЕТ РЕАКЦИИ</x:v>
      </x:c>
      <x:c r="W14" t="str">
        <x:v>1</x:v>
      </x:c>
      <x:c r="X14" t="str">
        <x:v>C:\Users\user\Documents\aviacia_v2\logs\ics_altitude_authority_20260722_184422.csv</x:v>
      </x:c>
    </x:row>
    <x:row r="15">
      <x:c r="A15" t="str">
        <x:v>ics_altitude_authority_20260722_184422.csv</x:v>
      </x:c>
      <x:c r="B15" t="str">
        <x:v>Altitude authority</x:v>
      </x:c>
      <x:c r="C15" t="str">
        <x:v>roll_150ft</x:v>
      </x:c>
      <x:c r="D15" t="str">
        <x:v>roll</x:v>
      </x:c>
      <x:c r="E15" t="str">
        <x:v>Approach</x:v>
      </x:c>
      <x:c r="F15" s="40" t="n">
        <x:v>150</x:v>
      </x:c>
      <x:c r="G15" s="40" t="n">
        <x:v>136.810669</x:v>
      </x:c>
      <x:c r="H15" s="40" t="n">
        <x:v>133.451843</x:v>
      </x:c>
      <x:c r="I15" s="40" t="n">
        <x:v>32.08143429999927</x:v>
      </x:c>
      <x:c r="J15" s="40" t="n">
        <x:v>32.30074399999921</x:v>
      </x:c>
      <x:c r="K15" s="40" t="n">
        <x:v>0</x:v>
      </x:c>
      <x:c r="L15" s="40" t="n">
        <x:v>-5</x:v>
      </x:c>
      <x:c r="M15" s="40" t="n">
        <x:v>-0.0035166665000000014</x:v>
      </x:c>
      <x:c r="N15" s="40" t="n">
        <x:v>0.0009063415000001296</x:v>
      </x:c>
      <x:c r="O15" s="40" t="n">
        <x:v>0.0011445000000001038</x:v>
      </x:c>
      <x:c r="P15" s="40" t="n">
        <x:v>-0.0026092519999999786</x:v>
      </x:c>
      <x:c r="Q15" s="40" t="n">
        <x:v>0.00478532445</x:v>
      </x:c>
      <x:c r="R15" s="40" t="n">
        <x:v>0.004790426</x:v>
      </x:c>
      <x:c r="S15" s="40" t="n">
        <x:v>-0.0116900057</x:v>
      </x:c>
      <x:c r="T15" s="40" t="n">
        <x:v>-0.0112013053</x:v>
      </x:c>
      <x:c r="U15" s="40" t="n">
        <x:f>IF(D15="pitch",ABS(M15),ABS(N15))</x:f>
        <x:v>0.0009063415000001296</x:v>
      </x:c>
      <x:c r="V15" t="str">
        <x:f>IF(U15&gt;=1,"РАБОТАЕТ",IF(U15&gt;=0.1,"СЛАБО","НЕТ РЕАКЦИИ"))</x:f>
        <x:v>НЕТ РЕАКЦИИ</x:v>
      </x:c>
      <x:c r="W15" t="str">
        <x:v>1</x:v>
      </x:c>
      <x:c r="X15" t="str">
        <x:v>C:\Users\user\Documents\aviacia_v2\logs\ics_altitude_authority_20260722_184422.csv</x:v>
      </x:c>
    </x:row>
    <x:row r="16">
      <x:c r="A16" t="str">
        <x:v>ics_altitude_authority_20260722_185652.csv</x:v>
      </x:c>
      <x:c r="B16" t="str">
        <x:v>Altitude authority</x:v>
      </x:c>
      <x:c r="C16" t="str">
        <x:v>pitch_400ft</x:v>
      </x:c>
      <x:c r="D16" t="str">
        <x:v>pitch</x:v>
      </x:c>
      <x:c r="E16" t="str">
        <x:v>Approach</x:v>
      </x:c>
      <x:c r="F16" s="40" t="n">
        <x:v>400</x:v>
      </x:c>
      <x:c r="G16" s="40" t="n">
        <x:v>399.934021</x:v>
      </x:c>
      <x:c r="H16" s="40" t="n">
        <x:v>396.691162</x:v>
      </x:c>
      <x:c r="I16" s="40" t="n">
        <x:v>11.68851900000027</x:v>
      </x:c>
      <x:c r="J16" s="40" t="n">
        <x:v>11.884605500000362</x:v>
      </x:c>
      <x:c r="K16" s="40" t="n">
        <x:v>0.5</x:v>
      </x:c>
      <x:c r="L16" s="40" t="n">
        <x:v>0</x:v>
      </x:c>
      <x:c r="M16" s="40" t="n">
        <x:v>-5.793693687</x:v>
      </x:c>
      <x:c r="N16" s="40" t="n">
        <x:v>0.0023372940000000453</x:v>
      </x:c>
      <x:c r="O16" s="40" t="n">
        <x:v>0.013290399999999813</x:v>
      </x:c>
      <x:c r="P16" s="40" t="n">
        <x:v>0.028167730000000057</x:v>
      </x:c>
      <x:c r="Q16" s="40" t="n">
        <x:v>-0.00341166346</x:v>
      </x:c>
      <x:c r="R16" s="40" t="n">
        <x:v>0.26911214</x:v>
      </x:c>
      <x:c r="S16" s="40" t="n">
        <x:v>0.116460465</x:v>
      </x:c>
      <x:c r="T16" s="40" t="n">
        <x:v>0.117580131</x:v>
      </x:c>
      <x:c r="U16" s="40" t="n">
        <x:f>IF(D16="pitch",ABS(M16),ABS(N16))</x:f>
        <x:v>5.793693687</x:v>
      </x:c>
      <x:c r="V16" t="str">
        <x:f>IF(U16&gt;=1,"РАБОТАЕТ",IF(U16&gt;=0.1,"СЛАБО","НЕТ РЕАКЦИИ"))</x:f>
        <x:v>РАБОТАЕТ</x:v>
      </x:c>
      <x:c r="W16" t="str">
        <x:v>1</x:v>
      </x:c>
      <x:c r="X16" t="str">
        <x:v>C:\Users\user\Documents\aviacia_v2\logs\ics_altitude_authority_20260722_185652.csv</x:v>
      </x:c>
    </x:row>
    <x:row r="17">
      <x:c r="A17" t="str">
        <x:v>ics_altitude_authority_20260722_185652.csv</x:v>
      </x:c>
      <x:c r="B17" t="str">
        <x:v>Altitude authority</x:v>
      </x:c>
      <x:c r="C17" t="str">
        <x:v>roll_400ft</x:v>
      </x:c>
      <x:c r="D17" t="str">
        <x:v>roll</x:v>
      </x:c>
      <x:c r="E17" t="str">
        <x:v>Approach</x:v>
      </x:c>
      <x:c r="F17" s="40" t="n">
        <x:v>400</x:v>
      </x:c>
      <x:c r="G17" s="40" t="n">
        <x:v>387.8194</x:v>
      </x:c>
      <x:c r="H17" s="40" t="n">
        <x:v>384.723328</x:v>
      </x:c>
      <x:c r="I17" s="40" t="n">
        <x:v>12.69210320000002</x:v>
      </x:c>
      <x:c r="J17" s="40" t="n">
        <x:v>12.905799699999989</x:v>
      </x:c>
      <x:c r="K17" s="40" t="n">
        <x:v>0</x:v>
      </x:c>
      <x:c r="L17" s="40" t="n">
        <x:v>5</x:v>
      </x:c>
      <x:c r="M17" s="40" t="n">
        <x:v>-0.40931666</x:v>
      </x:c>
      <x:c r="N17" s="40" t="n">
        <x:v>-4.4600442545000005</x:v>
      </x:c>
      <x:c r="O17" s="40" t="n">
        <x:v>0.16519165000000013</x:v>
      </x:c>
      <x:c r="P17" s="40" t="n">
        <x:v>0.02453613000000021</x:v>
      </x:c>
      <x:c r="Q17" s="40" t="n">
        <x:v>0.4514942</x:v>
      </x:c>
      <x:c r="R17" s="40" t="n">
        <x:v>0.74677515</x:v>
      </x:c>
      <x:c r="S17" s="40" t="n">
        <x:v>-0.05359603</x:v>
      </x:c>
      <x:c r="T17" s="40" t="n">
        <x:v>0.122291192</x:v>
      </x:c>
      <x:c r="U17" s="40" t="n">
        <x:f>IF(D17="pitch",ABS(M17),ABS(N17))</x:f>
        <x:v>4.4600442545000005</x:v>
      </x:c>
      <x:c r="V17" t="str">
        <x:f>IF(U17&gt;=1,"РАБОТАЕТ",IF(U17&gt;=0.1,"СЛАБО","НЕТ РЕАКЦИИ"))</x:f>
        <x:v>РАБОТАЕТ</x:v>
      </x:c>
      <x:c r="W17" t="str">
        <x:v>1</x:v>
      </x:c>
      <x:c r="X17" t="str">
        <x:v>C:\Users\user\Documents\aviacia_v2\logs\ics_altitude_authority_20260722_185652.csv</x:v>
      </x:c>
    </x:row>
    <x:row r="18">
      <x:c r="A18" t="str">
        <x:v>ics_altitude_authority_20260722_185652.csv</x:v>
      </x:c>
      <x:c r="B18" t="str">
        <x:v>Altitude authority</x:v>
      </x:c>
      <x:c r="C18" t="str">
        <x:v>pitch_300ft</x:v>
      </x:c>
      <x:c r="D18" t="str">
        <x:v>pitch</x:v>
      </x:c>
      <x:c r="E18" t="str">
        <x:v>Approach</x:v>
      </x:c>
      <x:c r="F18" s="40" t="n">
        <x:v>300</x:v>
      </x:c>
      <x:c r="G18" s="40" t="n">
        <x:v>299.768982</x:v>
      </x:c>
      <x:c r="H18" s="40" t="n">
        <x:v>297.457642</x:v>
      </x:c>
      <x:c r="I18" s="40" t="n">
        <x:v>22.065290399999867</x:v>
      </x:c>
      <x:c r="J18" s="40" t="n">
        <x:v>22.28391450000072</x:v>
      </x:c>
      <x:c r="K18" s="40" t="n">
        <x:v>0.5</x:v>
      </x:c>
      <x:c r="L18" s="40" t="n">
        <x:v>0</x:v>
      </x:c>
      <x:c r="M18" s="40" t="n">
        <x:v>-0.006975691800000003</x:v>
      </x:c>
      <x:c r="N18" s="40" t="n">
        <x:v>-0.031999394000000014</x:v>
      </x:c>
      <x:c r="O18" s="40" t="n">
        <x:v>-0.0034942700000000215</x:v>
      </x:c>
      <x:c r="P18" s="40" t="n">
        <x:v>0.032119730000000235</x:v>
      </x:c>
      <x:c r="Q18" s="40" t="n">
        <x:v>-0.00220095436</x:v>
      </x:c>
      <x:c r="R18" s="40" t="n">
        <x:v>-0.00204306422</x:v>
      </x:c>
      <x:c r="S18" s="40" t="n">
        <x:v>0.10916359</x:v>
      </x:c>
      <x:c r="T18" s="40" t="n">
        <x:v>0.110840656</x:v>
      </x:c>
      <x:c r="U18" s="40" t="n">
        <x:f>IF(D18="pitch",ABS(M18),ABS(N18))</x:f>
        <x:v>0.006975691800000003</x:v>
      </x:c>
      <x:c r="V18" t="str">
        <x:f>IF(U18&gt;=1,"РАБОТАЕТ",IF(U18&gt;=0.1,"СЛАБО","НЕТ РЕАКЦИИ"))</x:f>
        <x:v>НЕТ РЕАКЦИИ</x:v>
      </x:c>
      <x:c r="W18" t="str">
        <x:v>1</x:v>
      </x:c>
      <x:c r="X18" t="str">
        <x:v>C:\Users\user\Documents\aviacia_v2\logs\ics_altitude_authority_20260722_185652.csv</x:v>
      </x:c>
    </x:row>
    <x:row r="19">
      <x:c r="A19" t="str">
        <x:v>ics_altitude_authority_20260722_185652.csv</x:v>
      </x:c>
      <x:c r="B19" t="str">
        <x:v>Altitude authority</x:v>
      </x:c>
      <x:c r="C19" t="str">
        <x:v>roll_300ft</x:v>
      </x:c>
      <x:c r="D19" t="str">
        <x:v>roll</x:v>
      </x:c>
      <x:c r="E19" t="str">
        <x:v>Approach</x:v>
      </x:c>
      <x:c r="F19" s="40" t="n">
        <x:v>300</x:v>
      </x:c>
      <x:c r="G19" s="40" t="n">
        <x:v>290.0782</x:v>
      </x:c>
      <x:c r="H19" s="40" t="n">
        <x:v>287.7289</x:v>
      </x:c>
      <x:c r="I19" s="40" t="n">
        <x:v>23.068885200000295</x:v>
      </x:c>
      <x:c r="J19" s="40" t="n">
        <x:v>23.281917199999953</x:v>
      </x:c>
      <x:c r="K19" s="40" t="n">
        <x:v>0</x:v>
      </x:c>
      <x:c r="L19" s="40" t="n">
        <x:v>-5</x:v>
      </x:c>
      <x:c r="M19" s="40" t="n">
        <x:v>-0.008716520349999998</x:v>
      </x:c>
      <x:c r="N19" s="40" t="n">
        <x:v>-0.02148382999999998</x:v>
      </x:c>
      <x:c r="O19" s="40" t="n">
        <x:v>-0.0031585599999996994</x:v>
      </x:c>
      <x:c r="P19" s="40" t="n">
        <x:v>0.024459860000000333</x:v>
      </x:c>
      <x:c r="Q19" s="40" t="n">
        <x:v>-0.00008140421</x:v>
      </x:c>
      <x:c r="R19" s="40" t="n">
        <x:v>0.000937575</x:v>
      </x:c>
      <x:c r="S19" s="40" t="n">
        <x:v>0.07529093</x:v>
      </x:c>
      <x:c r="T19" s="40" t="n">
        <x:v>0.08404081</x:v>
      </x:c>
      <x:c r="U19" s="40" t="n">
        <x:f>IF(D19="pitch",ABS(M19),ABS(N19))</x:f>
        <x:v>0.02148382999999998</x:v>
      </x:c>
      <x:c r="V19" t="str">
        <x:f>IF(U19&gt;=1,"РАБОТАЕТ",IF(U19&gt;=0.1,"СЛАБО","НЕТ РЕАКЦИИ"))</x:f>
        <x:v>НЕТ РЕАКЦИИ</x:v>
      </x:c>
      <x:c r="W19" t="str">
        <x:v>1</x:v>
      </x:c>
      <x:c r="X19" t="str">
        <x:v>C:\Users\user\Documents\aviacia_v2\logs\ics_altitude_authority_20260722_185652.csv</x:v>
      </x:c>
    </x:row>
    <x:row r="20">
      <x:c r="A20" t="str">
        <x:v>ics_altitude_authority_20260722_185652.csv</x:v>
      </x:c>
      <x:c r="B20" t="str">
        <x:v>Altitude authority</x:v>
      </x:c>
      <x:c r="C20" t="str">
        <x:v>pitch_200ft</x:v>
      </x:c>
      <x:c r="D20" t="str">
        <x:v>pitch</x:v>
      </x:c>
      <x:c r="E20" t="str">
        <x:v>Landing</x:v>
      </x:c>
      <x:c r="F20" s="40" t="n">
        <x:v>200</x:v>
      </x:c>
      <x:c r="G20" s="40" t="n">
        <x:v>199.766968</x:v>
      </x:c>
      <x:c r="H20" s="40" t="n">
        <x:v>197.654678</x:v>
      </x:c>
      <x:c r="I20" s="40" t="n">
        <x:v>31.869354899999962</x:v>
      </x:c>
      <x:c r="J20" s="40" t="n">
        <x:v>32.05446140000004</x:v>
      </x:c>
      <x:c r="K20" s="40" t="n">
        <x:v>0.5</x:v>
      </x:c>
      <x:c r="L20" s="40" t="n">
        <x:v>0</x:v>
      </x:c>
      <x:c r="M20" s="40" t="n">
        <x:v>-0.002874582999999986</x:v>
      </x:c>
      <x:c r="N20" s="40" t="n">
        <x:v>-0.0005850240000000451</x:v>
      </x:c>
      <x:c r="O20" s="40" t="n">
        <x:v>0.0007018799999998215</x:v>
      </x:c>
      <x:c r="P20" s="40" t="n">
        <x:v>-0.0021515699999996585</x:v>
      </x:c>
      <x:c r="Q20" s="40" t="n">
        <x:v>0.01701395</x:v>
      </x:c>
      <x:c r="R20" s="40" t="n">
        <x:v>0.0170621872</x:v>
      </x:c>
      <x:c r="S20" s="40" t="n">
        <x:v>-0.0238557085</x:v>
      </x:c>
      <x:c r="T20" s="40" t="n">
        <x:v>-0.0236436836</x:v>
      </x:c>
      <x:c r="U20" s="40" t="n">
        <x:f>IF(D20="pitch",ABS(M20),ABS(N20))</x:f>
        <x:v>0.002874582999999986</x:v>
      </x:c>
      <x:c r="V20" t="str">
        <x:f>IF(U20&gt;=1,"РАБОТАЕТ",IF(U20&gt;=0.1,"СЛАБО","НЕТ РЕАКЦИИ"))</x:f>
        <x:v>НЕТ РЕАКЦИИ</x:v>
      </x:c>
      <x:c r="W20" t="str">
        <x:v>1</x:v>
      </x:c>
      <x:c r="X20" t="str">
        <x:v>C:\Users\user\Documents\aviacia_v2\logs\ics_altitude_authority_20260722_185652.csv</x:v>
      </x:c>
    </x:row>
    <x:row r="21">
      <x:c r="A21" t="str">
        <x:v>ics_altitude_authority_20260722_185652.csv</x:v>
      </x:c>
      <x:c r="B21" t="str">
        <x:v>Altitude authority</x:v>
      </x:c>
      <x:c r="C21" t="str">
        <x:v>roll_200ft</x:v>
      </x:c>
      <x:c r="D21" t="str">
        <x:v>roll</x:v>
      </x:c>
      <x:c r="E21" t="str">
        <x:v>Landing</x:v>
      </x:c>
      <x:c r="F21" s="40" t="n">
        <x:v>200</x:v>
      </x:c>
      <x:c r="G21" s="40" t="n">
        <x:v>189.511353</x:v>
      </x:c>
      <x:c r="H21" s="40" t="n">
        <x:v>187.0759</x:v>
      </x:c>
      <x:c r="I21" s="40" t="n">
        <x:v>32.857218200000716</x:v>
      </x:c>
      <x:c r="J21" s="40" t="n">
        <x:v>33.03720760000033</x:v>
      </x:c>
      <x:c r="K21" s="40" t="n">
        <x:v>0</x:v>
      </x:c>
      <x:c r="L21" s="40" t="n">
        <x:v>5</x:v>
      </x:c>
      <x:c r="M21" s="40" t="n">
        <x:v>-0.0026513934999999877</x:v>
      </x:c>
      <x:c r="N21" s="40" t="n">
        <x:v>-0.0004011525000000571</x:v>
      </x:c>
      <x:c r="O21" s="40" t="n">
        <x:v>0.0007782600000001416</x:v>
      </x:c>
      <x:c r="P21" s="40" t="n">
        <x:v>-0.0023345999999997424</x:v>
      </x:c>
      <x:c r="Q21" s="40" t="n">
        <x:v>0.0171708781</x:v>
      </x:c>
      <x:c r="R21" s="40" t="n">
        <x:v>0.0171784647</x:v>
      </x:c>
      <x:c r="S21" s="40" t="n">
        <x:v>-0.0245968979</x:v>
      </x:c>
      <x:c r="T21" s="40" t="n">
        <x:v>-0.0244874526</x:v>
      </x:c>
      <x:c r="U21" s="40" t="n">
        <x:f>IF(D21="pitch",ABS(M21),ABS(N21))</x:f>
        <x:v>0.0004011525000000571</x:v>
      </x:c>
      <x:c r="V21" t="str">
        <x:f>IF(U21&gt;=1,"РАБОТАЕТ",IF(U21&gt;=0.1,"СЛАБО","НЕТ РЕАКЦИИ"))</x:f>
        <x:v>НЕТ РЕАКЦИИ</x:v>
      </x:c>
      <x:c r="W21" t="str">
        <x:v>1</x:v>
      </x:c>
      <x:c r="X21" t="str">
        <x:v>C:\Users\user\Documents\aviacia_v2\logs\ics_altitude_authority_20260722_185652.csv</x:v>
      </x:c>
    </x:row>
    <x:row r="22">
      <x:c r="A22" t="str">
        <x:v>ics_elevator_sweep_20260722_154846.csv</x:v>
      </x:c>
      <x:c r="B22" t="str">
        <x:v>Legacy elevator sweep</x:v>
      </x:c>
      <x:c r="C22" t="str">
        <x:v>pulse</x:v>
      </x:c>
      <x:c r="D22" t="str">
        <x:v>pitch</x:v>
      </x:c>
      <x:c r="E22" t="str">
        <x:v>Approach (new activation)</x:v>
      </x:c>
      <x:c r="F22" s="40"/>
      <x:c r="G22" s="40" t="n">
        <x:v>1639.25183</x:v>
      </x:c>
      <x:c r="H22" s="40" t="n">
        <x:v>1610.00818</x:v>
      </x:c>
      <x:c r="I22" s="40" t="n">
        <x:v>3.9727990999999747</x:v>
      </x:c>
      <x:c r="J22" s="40" t="n">
        <x:v>13.960405100000003</x:v>
      </x:c>
      <x:c r="K22" s="40" t="n">
        <x:v>0.5</x:v>
      </x:c>
      <x:c r="L22" s="40"/>
      <x:c r="M22" s="40" t="n">
        <x:v>-5.444807835</x:v>
      </x:c>
      <x:c r="N22" s="40"/>
      <x:c r="O22" s="40" t="n">
        <x:v>5.447540309999999</x:v>
      </x:c>
      <x:c r="P22" s="40"/>
      <x:c r="Q22" s="40" t="n">
        <x:v>-0.0164796654</x:v>
      </x:c>
      <x:c r="R22" s="40" t="n">
        <x:v>0.482840538</x:v>
      </x:c>
      <x:c r="S22" s="40"/>
      <x:c r="T22" s="40"/>
      <x:c r="U22" s="40" t="n">
        <x:f>IF(D22="pitch",ABS(M22),ABS(N22))</x:f>
        <x:v>5.444807835</x:v>
      </x:c>
      <x:c r="V22" t="str">
        <x:f>IF(U22&gt;=1,"РАБОТАЕТ",IF(U22&gt;=0.1,"СЛАБО","НЕТ РЕАКЦИИ"))</x:f>
        <x:v>РАБОТАЕТ</x:v>
      </x:c>
      <x:c r="W22" t="str"/>
      <x:c r="X22" t="str">
        <x:v>C:\Users\user\Documents\aviacia_v2\logs\ics_elevator_sweep_20260722_154846.csv</x:v>
      </x:c>
    </x:row>
    <x:row r="23">
      <x:c r="A23" t="str">
        <x:v>ics_elevator_sweep_20260722_155217.csv</x:v>
      </x:c>
      <x:c r="B23" t="str">
        <x:v>Legacy elevator sweep</x:v>
      </x:c>
      <x:c r="C23" t="str">
        <x:v>pulse</x:v>
      </x:c>
      <x:c r="D23" t="str">
        <x:v>pitch</x:v>
      </x:c>
      <x:c r="E23" t="str">
        <x:v>Approach (new activation)</x:v>
      </x:c>
      <x:c r="F23" s="40"/>
      <x:c r="G23" s="40" t="n">
        <x:v>1647.15369</x:v>
      </x:c>
      <x:c r="H23" s="40" t="n">
        <x:v>1643.4541</x:v>
      </x:c>
      <x:c r="I23" s="40" t="n">
        <x:v>3.975237100000072</x:v>
      </x:c>
      <x:c r="J23" s="40" t="n">
        <x:v>4.176317300000051</x:v>
      </x:c>
      <x:c r="K23" s="40" t="n">
        <x:v>0.5</x:v>
      </x:c>
      <x:c r="L23" s="40"/>
      <x:c r="M23" s="40" t="n">
        <x:v>-5.16498625748365</x:v>
      </x:c>
      <x:c r="N23" s="40"/>
      <x:c r="O23" s="40" t="n">
        <x:v>0.013870239000000006</x:v>
      </x:c>
      <x:c r="P23" s="40"/>
      <x:c r="Q23" s="40" t="n">
        <x:v>0.005790663</x:v>
      </x:c>
      <x:c r="R23" s="40" t="n">
        <x:v>0.287328929</x:v>
      </x:c>
      <x:c r="S23" s="40"/>
      <x:c r="T23" s="40"/>
      <x:c r="U23" s="40" t="n">
        <x:f>IF(D23="pitch",ABS(M23),ABS(N23))</x:f>
        <x:v>5.16498625748365</x:v>
      </x:c>
      <x:c r="V23" t="str">
        <x:f>IF(U23&gt;=1,"РАБОТАЕТ",IF(U23&gt;=0.1,"СЛАБО","НЕТ РЕАКЦИИ"))</x:f>
        <x:v>РАБОТАЕТ</x:v>
      </x:c>
      <x:c r="W23" t="str"/>
      <x:c r="X23" t="str">
        <x:v>C:\Users\user\Documents\aviacia_v2\logs\ics_elevator_sweep_20260722_155217.csv</x:v>
      </x:c>
    </x:row>
    <x:row r="24">
      <x:c r="A24" t="str">
        <x:v>ics_elevator_sweep_20260722_155245.csv</x:v>
      </x:c>
      <x:c r="B24" t="str">
        <x:v>Legacy elevator sweep</x:v>
      </x:c>
      <x:c r="C24" t="str">
        <x:v>pulse</x:v>
      </x:c>
      <x:c r="D24" t="str">
        <x:v>pitch</x:v>
      </x:c>
      <x:c r="E24" t="str">
        <x:v>Approach (new activation)</x:v>
      </x:c>
      <x:c r="F24" s="40"/>
      <x:c r="G24" s="40" t="n">
        <x:v>1638.06323</x:v>
      </x:c>
      <x:c r="H24" s="40" t="n">
        <x:v>1634.35876</x:v>
      </x:c>
      <x:c r="I24" s="40" t="n">
        <x:v>3.976686299999983</x:v>
      </x:c>
      <x:c r="J24" s="40" t="n">
        <x:v>4.176758999999947</x:v>
      </x:c>
      <x:c r="K24" s="40" t="n">
        <x:v>1</x:v>
      </x:c>
      <x:c r="L24" s="40"/>
      <x:c r="M24" s="40" t="n">
        <x:v>-4.8488473165</x:v>
      </x:c>
      <x:c r="N24" s="40"/>
      <x:c r="O24" s="40" t="n">
        <x:v>0.01763915599999999</x:v>
      </x:c>
      <x:c r="P24" s="40"/>
      <x:c r="Q24" s="40" t="n">
        <x:v>-0.00496561034</x:v>
      </x:c>
      <x:c r="R24" s="40" t="n">
        <x:v>0.350922465</x:v>
      </x:c>
      <x:c r="S24" s="40"/>
      <x:c r="T24" s="40"/>
      <x:c r="U24" s="40" t="n">
        <x:f>IF(D24="pitch",ABS(M24),ABS(N24))</x:f>
        <x:v>4.8488473165</x:v>
      </x:c>
      <x:c r="V24" t="str">
        <x:f>IF(U24&gt;=1,"РАБОТАЕТ",IF(U24&gt;=0.1,"СЛАБО","НЕТ РЕАКЦИИ"))</x:f>
        <x:v>РАБОТАЕТ</x:v>
      </x:c>
      <x:c r="W24" t="str"/>
      <x:c r="X24" t="str">
        <x:v>C:\Users\user\Documents\aviacia_v2\logs\ics_elevator_sweep_20260722_155245.csv</x:v>
      </x:c>
    </x:row>
    <x:row r="25">
      <x:c r="A25" t="str">
        <x:v>ics_elevator_sweep_20260722_155310.csv</x:v>
      </x:c>
      <x:c r="B25" t="str">
        <x:v>Legacy elevator sweep</x:v>
      </x:c>
      <x:c r="C25" t="str">
        <x:v>pulse</x:v>
      </x:c>
      <x:c r="D25" t="str">
        <x:v>pitch</x:v>
      </x:c>
      <x:c r="E25" t="str">
        <x:v>Approach (new activation)</x:v>
      </x:c>
      <x:c r="F25" s="40"/>
      <x:c r="G25" s="40" t="n">
        <x:v>1729.34753</x:v>
      </x:c>
      <x:c r="H25" s="40" t="n">
        <x:v>1725.64209</x:v>
      </x:c>
      <x:c r="I25" s="40" t="n">
        <x:v>4.017403999999942</x:v>
      </x:c>
      <x:c r="J25" s="40" t="n">
        <x:v>4.217708300000027</x:v>
      </x:c>
      <x:c r="K25" s="40" t="n">
        <x:v>1.5</x:v>
      </x:c>
      <x:c r="L25" s="40"/>
      <x:c r="M25" s="40" t="n">
        <x:v>-5.7853569254999995</x:v>
      </x:c>
      <x:c r="N25" s="40"/>
      <x:c r="O25" s="40" t="n">
        <x:v>0.02075195299999999</x:v>
      </x:c>
      <x:c r="P25" s="40"/>
      <x:c r="Q25" s="40" t="n">
        <x:v>0.0133468</x:v>
      </x:c>
      <x:c r="R25" s="40" t="n">
        <x:v>0.364179254</x:v>
      </x:c>
      <x:c r="S25" s="40"/>
      <x:c r="T25" s="40"/>
      <x:c r="U25" s="40" t="n">
        <x:f>IF(D25="pitch",ABS(M25),ABS(N25))</x:f>
        <x:v>5.7853569254999995</x:v>
      </x:c>
      <x:c r="V25" t="str">
        <x:f>IF(U25&gt;=1,"РАБОТАЕТ",IF(U25&gt;=0.1,"СЛАБО","НЕТ РЕАКЦИИ"))</x:f>
        <x:v>РАБОТАЕТ</x:v>
      </x:c>
      <x:c r="W25" t="str"/>
      <x:c r="X25" t="str">
        <x:v>C:\Users\user\Documents\aviacia_v2\logs\ics_elevator_sweep_20260722_155310.csv</x:v>
      </x:c>
    </x:row>
    <x:row r="26">
      <x:c r="A26" t="str">
        <x:v>ics_elevator_sweep_20260722_155338.csv</x:v>
      </x:c>
      <x:c r="B26" t="str">
        <x:v>Legacy elevator sweep</x:v>
      </x:c>
      <x:c r="C26" t="str">
        <x:v>pulse</x:v>
      </x:c>
      <x:c r="D26" t="str">
        <x:v>pitch</x:v>
      </x:c>
      <x:c r="E26" t="str">
        <x:v>Approach (new activation)</x:v>
      </x:c>
      <x:c r="F26" s="40"/>
      <x:c r="G26" s="40" t="n">
        <x:v>1724.2179</x:v>
      </x:c>
      <x:c r="H26" s="40" t="n">
        <x:v>1721.0531</x:v>
      </x:c>
      <x:c r="I26" s="40" t="n">
        <x:v>4.011826600000063</x:v>
      </x:c>
      <x:c r="J26" s="40" t="n">
        <x:v>4.184219600000006</x:v>
      </x:c>
      <x:c r="K26" s="40" t="n">
        <x:v>2</x:v>
      </x:c>
      <x:c r="L26" s="40"/>
      <x:c r="M26" s="40" t="n">
        <x:v>-5.165011189</x:v>
      </x:c>
      <x:c r="N26" s="40"/>
      <x:c r="O26" s="40" t="n">
        <x:v>0.016418457100000006</x:v>
      </x:c>
      <x:c r="P26" s="40"/>
      <x:c r="Q26" s="40" t="n">
        <x:v>0.0205879621</x:v>
      </x:c>
      <x:c r="R26" s="40" t="n">
        <x:v>0.295422465</x:v>
      </x:c>
      <x:c r="S26" s="40"/>
      <x:c r="T26" s="40"/>
      <x:c r="U26" s="40" t="n">
        <x:f>IF(D26="pitch",ABS(M26),ABS(N26))</x:f>
        <x:v>5.165011189</x:v>
      </x:c>
      <x:c r="V26" t="str">
        <x:f>IF(U26&gt;=1,"РАБОТАЕТ",IF(U26&gt;=0.1,"СЛАБО","НЕТ РЕАКЦИИ"))</x:f>
        <x:v>РАБОТАЕТ</x:v>
      </x:c>
      <x:c r="W26" t="str"/>
      <x:c r="X26" t="str">
        <x:v>C:\Users\user\Documents\aviacia_v2\logs\ics_elevator_sweep_20260722_155338.csv</x:v>
      </x:c>
    </x:row>
    <x:row r="27">
      <x:c r="A27" t="str">
        <x:v>ics_elevator_sweep_20260722_155359.csv</x:v>
      </x:c>
      <x:c r="B27" t="str">
        <x:v>Legacy elevator sweep</x:v>
      </x:c>
      <x:c r="C27" t="str">
        <x:v>pulse</x:v>
      </x:c>
      <x:c r="D27" t="str">
        <x:v>pitch</x:v>
      </x:c>
      <x:c r="E27" t="str">
        <x:v>Approach (new activation)</x:v>
      </x:c>
      <x:c r="F27" s="40"/>
      <x:c r="G27" s="40" t="n">
        <x:v>1745.40881</x:v>
      </x:c>
      <x:c r="H27" s="40" t="n">
        <x:v>1741.943</x:v>
      </x:c>
      <x:c r="I27" s="40" t="n">
        <x:v>3.9914971000000605</x:v>
      </x:c>
      <x:c r="J27" s="40" t="n">
        <x:v>4.20867910000004</x:v>
      </x:c>
      <x:c r="K27" s="40" t="n">
        <x:v>5</x:v>
      </x:c>
      <x:c r="L27" s="40"/>
      <x:c r="M27" s="40" t="n">
        <x:v>-5.4755768300000005</x:v>
      </x:c>
      <x:c r="N27" s="40"/>
      <x:c r="O27" s="40" t="n">
        <x:v>0.035354624</x:v>
      </x:c>
      <x:c r="P27" s="40"/>
      <x:c r="Q27" s="40" t="n">
        <x:v>0.09348182</x:v>
      </x:c>
      <x:c r="R27" s="40" t="n">
        <x:v>0.387132168</x:v>
      </x:c>
      <x:c r="S27" s="40"/>
      <x:c r="T27" s="40"/>
      <x:c r="U27" s="40" t="n">
        <x:f>IF(D27="pitch",ABS(M27),ABS(N27))</x:f>
        <x:v>5.4755768300000005</x:v>
      </x:c>
      <x:c r="V27" t="str">
        <x:f>IF(U27&gt;=1,"РАБОТАЕТ",IF(U27&gt;=0.1,"СЛАБО","НЕТ РЕАКЦИИ"))</x:f>
        <x:v>РАБОТАЕТ</x:v>
      </x:c>
      <x:c r="W27" t="str"/>
      <x:c r="X27" t="str">
        <x:v>C:\Users\user\Documents\aviacia_v2\logs\ics_elevator_sweep_20260722_155359.csv</x:v>
      </x:c>
    </x:row>
    <x:row r="28">
      <x:c r="A28" t="str">
        <x:v>ics_elevator_sweep_20260722_180419.csv</x:v>
      </x:c>
      <x:c r="B28" t="str">
        <x:v>Legacy elevator sweep</x:v>
      </x:c>
      <x:c r="C28" t="str">
        <x:v>pulse</x:v>
      </x:c>
      <x:c r="D28" t="str">
        <x:v>pitch</x:v>
      </x:c>
      <x:c r="E28" t="str">
        <x:v>Approach (new activation)</x:v>
      </x:c>
      <x:c r="F28" s="40"/>
      <x:c r="G28" s="40" t="n">
        <x:v>1101.895</x:v>
      </x:c>
      <x:c r="H28" s="40" t="n">
        <x:v>1097.86768</x:v>
      </x:c>
      <x:c r="I28" s="40" t="n">
        <x:v>3.9754517999999734</x:v>
      </x:c>
      <x:c r="J28" s="40" t="n">
        <x:v>4.208988299999874</x:v>
      </x:c>
      <x:c r="K28" s="40" t="n">
        <x:v>0.5</x:v>
      </x:c>
      <x:c r="L28" s="40"/>
      <x:c r="M28" s="40" t="n">
        <x:v>-6.108342513999999</x:v>
      </x:c>
      <x:c r="N28" s="40"/>
      <x:c r="O28" s="40" t="n">
        <x:v>0.027816770999999962</x:v>
      </x:c>
      <x:c r="P28" s="40"/>
      <x:c r="Q28" s="40" t="n">
        <x:v>-0.0160523746</x:v>
      </x:c>
      <x:c r="R28" s="40" t="n">
        <x:v>0.453181446</x:v>
      </x:c>
      <x:c r="S28" s="40"/>
      <x:c r="T28" s="40"/>
      <x:c r="U28" s="40" t="n">
        <x:f>IF(D28="pitch",ABS(M28),ABS(N28))</x:f>
        <x:v>6.108342513999999</x:v>
      </x:c>
      <x:c r="V28" t="str">
        <x:f>IF(U28&gt;=1,"РАБОТАЕТ",IF(U28&gt;=0.1,"СЛАБО","НЕТ РЕАКЦИИ"))</x:f>
        <x:v>РАБОТАЕТ</x:v>
      </x:c>
      <x:c r="W28" t="str"/>
      <x:c r="X28" t="str">
        <x:v>C:\Users\user\Documents\aviacia_v2\logs\ics_elevator_sweep_20260722_180419.csv</x:v>
      </x:c>
    </x:row>
    <x:row r="29">
      <x:c r="A29" t="str">
        <x:v>ics_elevator_sweep_20260722_180802.csv</x:v>
      </x:c>
      <x:c r="B29" t="str">
        <x:v>Legacy elevator sweep</x:v>
      </x:c>
      <x:c r="C29" t="str">
        <x:v>pulse</x:v>
      </x:c>
      <x:c r="D29" t="str">
        <x:v>pitch</x:v>
      </x:c>
      <x:c r="E29" t="str">
        <x:v>Approach (new activation)</x:v>
      </x:c>
      <x:c r="F29" s="40"/>
      <x:c r="G29" s="40" t="n">
        <x:v>140.357285</x:v>
      </x:c>
      <x:c r="H29" s="40" t="n">
        <x:v>98.95916</x:v>
      </x:c>
      <x:c r="I29" s="40" t="n">
        <x:v>3.9955071000003954</x:v>
      </x:c>
      <x:c r="J29" s="40" t="n">
        <x:v>6.9403869000007035</x:v>
      </x:c>
      <x:c r="K29" s="40" t="n">
        <x:v>3</x:v>
      </x:c>
      <x:c r="L29" s="40"/>
      <x:c r="M29" s="40" t="n">
        <x:v>-0.0020598004999999864</x:v>
      </x:c>
      <x:c r="N29" s="40"/>
      <x:c r="O29" s="40" t="n">
        <x:v>0.0005798299999999479</x:v>
      </x:c>
      <x:c r="P29" s="40"/>
      <x:c r="Q29" s="40" t="n">
        <x:v>0.000209672842</x:v>
      </x:c>
      <x:c r="R29" s="40" t="n">
        <x:v>0.0002784324</x:v>
      </x:c>
      <x:c r="S29" s="40"/>
      <x:c r="T29" s="40"/>
      <x:c r="U29" s="40" t="n">
        <x:f>IF(D29="pitch",ABS(M29),ABS(N29))</x:f>
        <x:v>0.0020598004999999864</x:v>
      </x:c>
      <x:c r="V29" t="str">
        <x:f>IF(U29&gt;=1,"РАБОТАЕТ",IF(U29&gt;=0.1,"СЛАБО","НЕТ РЕАКЦИИ"))</x:f>
        <x:v>НЕТ РЕАКЦИИ</x:v>
      </x:c>
      <x:c r="W29" t="str"/>
      <x:c r="X29" t="str">
        <x:v>C:\Users\user\Documents\aviacia_v2\logs\ics_elevator_sweep_20260722_180802.csv</x:v>
      </x:c>
    </x:row>
    <x:row r="30">
      <x:c r="A30" t="str">
        <x:v>ics_elevator_sweep_20260722_180921.csv</x:v>
      </x:c>
      <x:c r="B30" t="str">
        <x:v>Legacy elevator sweep</x:v>
      </x:c>
      <x:c r="C30" t="str">
        <x:v>pulse</x:v>
      </x:c>
      <x:c r="D30" t="str">
        <x:v>pitch</x:v>
      </x:c>
      <x:c r="E30" t="str">
        <x:v>Approach (new activation)</x:v>
      </x:c>
      <x:c r="F30" s="40"/>
      <x:c r="G30" s="40" t="n">
        <x:v>451.8971</x:v>
      </x:c>
      <x:c r="H30" s="40" t="n">
        <x:v>448.2814</x:v>
      </x:c>
      <x:c r="I30" s="40" t="n">
        <x:v>4.003248600000006</x:v>
      </x:c>
      <x:c r="J30" s="40" t="n">
        <x:v>4.205342799999926</x:v>
      </x:c>
      <x:c r="K30" s="40" t="n">
        <x:v>0.5</x:v>
      </x:c>
      <x:c r="L30" s="40"/>
      <x:c r="M30" s="40" t="n">
        <x:v>-6.106534958</x:v>
      </x:c>
      <x:c r="N30" s="40"/>
      <x:c r="O30" s="40" t="n">
        <x:v>0.01330566000000033</x:v>
      </x:c>
      <x:c r="P30" s="40"/>
      <x:c r="Q30" s="40" t="n">
        <x:v>-0.004494396</x:v>
      </x:c>
      <x:c r="R30" s="40" t="n">
        <x:v>0.2613766</x:v>
      </x:c>
      <x:c r="S30" s="40"/>
      <x:c r="T30" s="40"/>
      <x:c r="U30" s="40" t="n">
        <x:f>IF(D30="pitch",ABS(M30),ABS(N30))</x:f>
        <x:v>6.106534958</x:v>
      </x:c>
      <x:c r="V30" t="str">
        <x:f>IF(U30&gt;=1,"РАБОТАЕТ",IF(U30&gt;=0.1,"СЛАБО","НЕТ РЕАКЦИИ"))</x:f>
        <x:v>РАБОТАЕТ</x:v>
      </x:c>
      <x:c r="W30" t="str"/>
      <x:c r="X30" t="str">
        <x:v>C:\Users\user\Documents\aviacia_v2\logs\ics_elevator_sweep_20260722_180921.csv</x:v>
      </x:c>
    </x:row>
    <x:row r="31">
      <x:c r="A31" t="str">
        <x:v>ics_elevator_sweep_20260722_180931.csv</x:v>
      </x:c>
      <x:c r="B31" t="str">
        <x:v>Legacy elevator sweep</x:v>
      </x:c>
      <x:c r="C31" t="str">
        <x:v>pulse</x:v>
      </x:c>
      <x:c r="D31" t="str">
        <x:v>pitch</x:v>
      </x:c>
      <x:c r="E31" t="str">
        <x:v>Approach (new activation)</x:v>
      </x:c>
      <x:c r="F31" s="40"/>
      <x:c r="G31" s="40" t="n">
        <x:v>329.936249</x:v>
      </x:c>
      <x:c r="H31" s="40" t="n">
        <x:v>326.058044</x:v>
      </x:c>
      <x:c r="I31" s="40" t="n">
        <x:v>4.009567799999786</x:v>
      </x:c>
      <x:c r="J31" s="40" t="n">
        <x:v>4.210230499999852</x:v>
      </x:c>
      <x:c r="K31" s="40" t="n">
        <x:v>0.5</x:v>
      </x:c>
      <x:c r="L31" s="40"/>
      <x:c r="M31" s="40" t="n">
        <x:v>-0.013267313250000003</x:v>
      </x:c>
      <x:c r="N31" s="40"/>
      <x:c r="O31" s="40" t="n">
        <x:v>0.005249000000000059</x:v>
      </x:c>
      <x:c r="P31" s="40"/>
      <x:c r="Q31" s="40" t="n">
        <x:v>0.0215253253</x:v>
      </x:c>
      <x:c r="R31" s="40" t="n">
        <x:v>0.0254136268</x:v>
      </x:c>
      <x:c r="S31" s="40"/>
      <x:c r="T31" s="40"/>
      <x:c r="U31" s="40" t="n">
        <x:f>IF(D31="pitch",ABS(M31),ABS(N31))</x:f>
        <x:v>0.013267313250000003</x:v>
      </x:c>
      <x:c r="V31" t="str">
        <x:f>IF(U31&gt;=1,"РАБОТАЕТ",IF(U31&gt;=0.1,"СЛАБО","НЕТ РЕАКЦИИ"))</x:f>
        <x:v>НЕТ РЕАКЦИИ</x:v>
      </x:c>
      <x:c r="W31" t="str"/>
      <x:c r="X31" t="str">
        <x:v>C:\Users\user\Documents\aviacia_v2\logs\ics_elevator_sweep_20260722_180931.csv</x:v>
      </x:c>
    </x:row>
    <x:row r="32">
      <x:c r="A32" t="str">
        <x:v>ics_elevator_sweep_20260722_180941.csv</x:v>
      </x:c>
      <x:c r="B32" t="str">
        <x:v>Legacy elevator sweep</x:v>
      </x:c>
      <x:c r="C32" t="str">
        <x:v>pulse</x:v>
      </x:c>
      <x:c r="D32" t="str">
        <x:v>pitch</x:v>
      </x:c>
      <x:c r="E32" t="str">
        <x:v>Approach (new activation)</x:v>
      </x:c>
      <x:c r="F32" s="40"/>
      <x:c r="G32" s="40" t="n">
        <x:v>196.005676</x:v>
      </x:c>
      <x:c r="H32" s="40" t="n">
        <x:v>192.992325</x:v>
      </x:c>
      <x:c r="I32" s="40" t="n">
        <x:v>3.9852765000005093</x:v>
      </x:c>
      <x:c r="J32" s="40" t="n">
        <x:v>4.179640800000016</x:v>
      </x:c>
      <x:c r="K32" s="40" t="n">
        <x:v>0.5</x:v>
      </x:c>
      <x:c r="L32" s="40"/>
      <x:c r="M32" s="40" t="n">
        <x:v>0.006754003049999985</x:v>
      </x:c>
      <x:c r="N32" s="40"/>
      <x:c r="O32" s="40" t="n">
        <x:v>0.0030975400000001763</x:v>
      </x:c>
      <x:c r="P32" s="40"/>
      <x:c r="Q32" s="40" t="n">
        <x:v>0.0110822227</x:v>
      </x:c>
      <x:c r="R32" s="40" t="n">
        <x:v>0.012625223</x:v>
      </x:c>
      <x:c r="S32" s="40"/>
      <x:c r="T32" s="40"/>
      <x:c r="U32" s="40" t="n">
        <x:f>IF(D32="pitch",ABS(M32),ABS(N32))</x:f>
        <x:v>0.006754003049999985</x:v>
      </x:c>
      <x:c r="V32" t="str">
        <x:f>IF(U32&gt;=1,"РАБОТАЕТ",IF(U32&gt;=0.1,"СЛАБО","НЕТ РЕАКЦИИ"))</x:f>
        <x:v>НЕТ РЕАКЦИИ</x:v>
      </x:c>
      <x:c r="W32" t="str"/>
      <x:c r="X32" t="str">
        <x:v>C:\Users\user\Documents\aviacia_v2\logs\ics_elevator_sweep_20260722_180941.csv</x:v>
      </x:c>
    </x:row>
    <x:row r="33">
      <x:c r="A33" t="str">
        <x:v>ics_elevator_sweep_20260722_180950.csv</x:v>
      </x:c>
      <x:c r="B33" t="str">
        <x:v>Legacy elevator sweep</x:v>
      </x:c>
      <x:c r="C33" t="str">
        <x:v>pulse</x:v>
      </x:c>
      <x:c r="D33" t="str">
        <x:v>pitch</x:v>
      </x:c>
      <x:c r="E33" t="str">
        <x:v>Approach (new activation)</x:v>
      </x:c>
      <x:c r="F33" s="40"/>
      <x:c r="G33" s="40" t="n">
        <x:v>83.0399551</x:v>
      </x:c>
      <x:c r="H33" s="40" t="n">
        <x:v>80.18376</x:v>
      </x:c>
      <x:c r="I33" s="40" t="n">
        <x:v>3.974177900000541</x:v>
      </x:c>
      <x:c r="J33" s="40" t="n">
        <x:v>4.172390200000336</x:v>
      </x:c>
      <x:c r="K33" s="40" t="n">
        <x:v>0.5</x:v>
      </x:c>
      <x:c r="L33" s="40"/>
      <x:c r="M33" s="40" t="n">
        <x:v>-0.0009147885000000133</x:v>
      </x:c>
      <x:c r="N33" s="40"/>
      <x:c r="O33" s="40" t="n">
        <x:v>-0.0012664799999999587</x:v>
      </x:c>
      <x:c r="P33" s="40"/>
      <x:c r="Q33" s="40" t="n">
        <x:v>-0.00524653448</x:v>
      </x:c>
      <x:c r="R33" s="40" t="n">
        <x:v>-0.005069453</x:v>
      </x:c>
      <x:c r="S33" s="40"/>
      <x:c r="T33" s="40"/>
      <x:c r="U33" s="40" t="n">
        <x:f>IF(D33="pitch",ABS(M33),ABS(N33))</x:f>
        <x:v>0.0009147885000000133</x:v>
      </x:c>
      <x:c r="V33" t="str">
        <x:f>IF(U33&gt;=1,"РАБОТАЕТ",IF(U33&gt;=0.1,"СЛАБО","НЕТ РЕАКЦИИ"))</x:f>
        <x:v>НЕТ РЕАКЦИИ</x:v>
      </x:c>
      <x:c r="W33" t="str"/>
      <x:c r="X33" t="str">
        <x:v>C:\Users\user\Documents\aviacia_v2\logs\ics_elevator_sweep_20260722_180950.csv</x:v>
      </x:c>
    </x:row>
  </x:sheetData>
  <x:conditionalFormatting sqref="V2:V33">
    <x:cfRule type="containsText" dxfId="0" priority="1" operator="containsText" text="РАБОТАЕТ"/>
    <x:cfRule type="containsText" dxfId="1" priority="2" operator="containsText" text="СЛАБО"/>
    <x:cfRule type="containsText" dxfId="2" priority="3" operator="containsText" text="НЕТ РЕАКЦИИ"/>
  </x:conditionalFormatting>
  <x:pageMargins left="0.7" right="0.7" top="0.75" bottom="0.75" header="0.3" footer="0.3"/>
  <x:tableParts count="1">
    <x:tablePart xmlns:r="http://schemas.openxmlformats.org/officeDocument/2006/relationships" r:id="Ree242f27325245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54" hidden="0" customWidth="1"/>
  </x:cols>
  <x:sheetData>
    <x:row r="1" ht="34" customHeight="1">
      <x:c r="A1" s="13" t="str">
        <x:v>Лог</x:v>
      </x:c>
      <x:c r="B1" s="24" t="str">
        <x:v>Диапазон RA</x:v>
      </x:c>
      <x:c r="C1" s="24" t="str">
        <x:v>Строк</x:v>
      </x:c>
      <x:c r="D1" s="24" t="str">
        <x:v>t начало, s</x:v>
      </x:c>
      <x:c r="E1" s="24" t="str">
        <x:v>t конец, s</x:v>
      </x:c>
      <x:c r="F1" s="24" t="str">
        <x:v>RA начало, ft</x:v>
      </x:c>
      <x:c r="G1" s="24" t="str">
        <x:v>RA конец, ft</x:v>
      </x:c>
      <x:c r="H1" s="24" t="str">
        <x:v>Max |ElevatorCmd|</x:v>
      </x:c>
      <x:c r="I1" s="24" t="str">
        <x:v>Elevator min, deg</x:v>
      </x:c>
      <x:c r="J1" s="24" t="str">
        <x:v>Elevator max, deg</x:v>
      </x:c>
      <x:c r="K1" s="24" t="str">
        <x:v>Max |AileronCmd|</x:v>
      </x:c>
      <x:c r="L1" s="24" t="str">
        <x:v>Aileron diff min</x:v>
      </x:c>
      <x:c r="M1" s="24" t="str">
        <x:v>Aileron diff max</x:v>
      </x:c>
      <x:c r="N1" s="24" t="str">
        <x:v>Pitch начало</x:v>
      </x:c>
      <x:c r="O1" s="24" t="str">
        <x:v>Pitch конец</x:v>
      </x:c>
      <x:c r="P1" s="24" t="str">
        <x:v>Roll начало</x:v>
      </x:c>
      <x:c r="Q1" s="24" t="str">
        <x:v>Roll конец</x:v>
      </x:c>
      <x:c r="R1" s="24" t="str">
        <x:v>ControlMode</x:v>
      </x:c>
      <x:c r="S1" s="24" t="str">
        <x:v>Active конец</x:v>
      </x:c>
      <x:c r="T1" s="14" t="str">
        <x:v>Источник</x:v>
      </x:c>
    </x:row>
    <x:row r="2">
      <x:c r="A2" t="str">
        <x:v>ics_pid_20260722_111305.csv</x:v>
      </x:c>
      <x:c r="B2" t="str">
        <x:v>400+</x:v>
      </x:c>
      <x:c r="C2" s="41" t="n">
        <x:v>285</x:v>
      </x:c>
      <x:c r="D2" s="40" t="n">
        <x:v>0.0007142999997995503</x:v>
      </x:c>
      <x:c r="E2" s="40" t="n">
        <x:v>10.195574999999735</x:v>
      </x:c>
      <x:c r="F2" s="40" t="n">
        <x:v>541.649048</x:v>
      </x:c>
      <x:c r="G2" s="40" t="n">
        <x:v>400.177216</x:v>
      </x:c>
      <x:c r="H2" s="40" t="n">
        <x:v>0.16981551039309525</x:v>
      </x:c>
      <x:c r="I2" s="40" t="n">
        <x:v>-3.9301816</x:v>
      </x:c>
      <x:c r="J2" s="40" t="n">
        <x:v>3.9145657050000002</x:v>
      </x:c>
      <x:c r="K2" s="40" t="n">
        <x:v>3.3506380638802984</x:v>
      </x:c>
      <x:c r="L2" s="40" t="n">
        <x:v>-3.5285347700000003</x:v>
      </x:c>
      <x:c r="M2" s="40" t="n">
        <x:v>-0.361335427</x:v>
      </x:c>
      <x:c r="N2" s="40" t="n">
        <x:v>2.58699036</x:v>
      </x:c>
      <x:c r="O2" s="40" t="n">
        <x:v>3.46195984</x:v>
      </x:c>
      <x:c r="P2" s="40" t="n">
        <x:v>0.140594482</x:v>
      </x:c>
      <x:c r="Q2" s="40" t="n">
        <x:v>-0.0354614258</x:v>
      </x:c>
      <x:c r="R2" s="40" t="str">
        <x:v>Approach</x:v>
      </x:c>
      <x:c r="S2" s="40" t="str">
        <x:v>1</x:v>
      </x:c>
      <x:c r="T2" t="str">
        <x:v>C:\Users\user\Documents\aviacia_v2\logs\ics_pid_20260722_111305.csv</x:v>
      </x:c>
    </x:row>
    <x:row r="3">
      <x:c r="A3" t="str">
        <x:v>ics_pid_20260722_111305.csv</x:v>
      </x:c>
      <x:c r="B3" t="str">
        <x:v>300–400</x:v>
      </x:c>
      <x:c r="C3" s="41" t="n">
        <x:v>211</x:v>
      </x:c>
      <x:c r="D3" s="40" t="n">
        <x:v>10.240844699999798</x:v>
      </x:c>
      <x:c r="E3" s="40" t="n">
        <x:v>18.589914099999987</x:v>
      </x:c>
      <x:c r="F3" s="40" t="n">
        <x:v>399.846039</x:v>
      </x:c>
      <x:c r="G3" s="40" t="n">
        <x:v>300.21756</x:v>
      </x:c>
      <x:c r="H3" s="40" t="n">
        <x:v>0.0060216959563240725</x:v>
      </x:c>
      <x:c r="I3" s="40" t="n">
        <x:v>-0.893389702</x:v>
      </x:c>
      <x:c r="J3" s="40" t="n">
        <x:v>-0.216314867</x:v>
      </x:c>
      <x:c r="K3" s="40" t="n">
        <x:v>0.7343059437580793</x:v>
      </x:c>
      <x:c r="L3" s="40" t="n">
        <x:v>-0.774422515</x:v>
      </x:c>
      <x:c r="M3" s="40" t="n">
        <x:v>-0.75009365</x:v>
      </x:c>
      <x:c r="N3" s="40" t="n">
        <x:v>3.46083069</x:v>
      </x:c>
      <x:c r="O3" s="40" t="n">
        <x:v>3.50657654</x:v>
      </x:c>
      <x:c r="P3" s="40" t="n">
        <x:v>-0.0355682373</x:v>
      </x:c>
      <x:c r="Q3" s="40" t="n">
        <x:v>-0.0433197021</x:v>
      </x:c>
      <x:c r="R3" s="40" t="str">
        <x:v>Approach</x:v>
      </x:c>
      <x:c r="S3" s="40" t="str">
        <x:v>1</x:v>
      </x:c>
      <x:c r="T3" t="str">
        <x:v>C:\Users\user\Documents\aviacia_v2\logs\ics_pid_20260722_111305.csv</x:v>
      </x:c>
    </x:row>
    <x:row r="4">
      <x:c r="A4" t="str">
        <x:v>ics_pid_20260722_111305.csv</x:v>
      </x:c>
      <x:c r="B4" t="str">
        <x:v>200–300</x:v>
      </x:c>
      <x:c r="C4" s="41" t="n">
        <x:v>204</x:v>
      </x:c>
      <x:c r="D4" s="40" t="n">
        <x:v>18.636400299999877</x:v>
      </x:c>
      <x:c r="E4" s="40" t="n">
        <x:v>26.404686500000025</x:v>
      </x:c>
      <x:c r="F4" s="40" t="n">
        <x:v>299.844635</x:v>
      </x:c>
      <x:c r="G4" s="40" t="n">
        <x:v>200.083359</x:v>
      </x:c>
      <x:c r="H4" s="40" t="n">
        <x:v>0.12148755462016371</x:v>
      </x:c>
      <x:c r="I4" s="40" t="n">
        <x:v>-0.5304082335</x:v>
      </x:c>
      <x:c r="J4" s="40" t="n">
        <x:v>-0.20966134199999997</x:v>
      </x:c>
      <x:c r="K4" s="40" t="n">
        <x:v>5</x:v>
      </x:c>
      <x:c r="L4" s="40" t="n">
        <x:v>-0.7921892500000001</x:v>
      </x:c>
      <x:c r="M4" s="40" t="n">
        <x:v>-0.0194845507</x:v>
      </x:c>
      <x:c r="N4" s="40" t="n">
        <x:v>3.50773621</x:v>
      </x:c>
      <x:c r="O4" s="40" t="n">
        <x:v>3.45246887</x:v>
      </x:c>
      <x:c r="P4" s="40" t="n">
        <x:v>-0.0433197021</x:v>
      </x:c>
      <x:c r="Q4" s="40" t="n">
        <x:v>0.3914795</x:v>
      </x:c>
      <x:c r="R4" s="40" t="str">
        <x:v>Approach</x:v>
      </x:c>
      <x:c r="S4" s="40" t="str">
        <x:v>1</x:v>
      </x:c>
      <x:c r="T4" t="str">
        <x:v>C:\Users\user\Documents\aviacia_v2\logs\ics_pid_20260722_111305.csv</x:v>
      </x:c>
    </x:row>
    <x:row r="5">
      <x:c r="A5" t="str">
        <x:v>ics_pid_20260722_111305.csv</x:v>
      </x:c>
      <x:c r="B5" t="str">
        <x:v>100–200</x:v>
      </x:c>
      <x:c r="C5" s="41" t="n">
        <x:v>190</x:v>
      </x:c>
      <x:c r="D5" s="40" t="n">
        <x:v>26.449899599999753</x:v>
      </x:c>
      <x:c r="E5" s="40" t="n">
        <x:v>33.876077200000054</x:v>
      </x:c>
      <x:c r="F5" s="40" t="n">
        <x:v>199.29007</x:v>
      </x:c>
      <x:c r="G5" s="40" t="n">
        <x:v>100.42234</x:v>
      </x:c>
      <x:c r="H5" s="40" t="n">
        <x:v>0.5</x:v>
      </x:c>
      <x:c r="I5" s="40" t="n">
        <x:v>-0.6423177</x:v>
      </x:c>
      <x:c r="J5" s="40" t="n">
        <x:v>-0.5315431</x:v>
      </x:c>
      <x:c r="K5" s="40" t="n">
        <x:v>5</x:v>
      </x:c>
      <x:c r="L5" s="40" t="n">
        <x:v>-0.8226628739999999</x:v>
      </x:c>
      <x:c r="M5" s="40" t="n">
        <x:v>-0.7928709979999999</x:v>
      </x:c>
      <x:c r="N5" s="40" t="n">
        <x:v>3.45257568</x:v>
      </x:c>
      <x:c r="O5" s="40" t="n">
        <x:v>3.4839325</x:v>
      </x:c>
      <x:c r="P5" s="40" t="n">
        <x:v>0.391372681</x:v>
      </x:c>
      <x:c r="Q5" s="40" t="n">
        <x:v>0.305343628</x:v>
      </x:c>
      <x:c r="R5" s="40" t="str">
        <x:v>Approach</x:v>
      </x:c>
      <x:c r="S5" s="40" t="str">
        <x:v>1</x:v>
      </x:c>
      <x:c r="T5" t="str">
        <x:v>C:\Users\user\Documents\aviacia_v2\logs\ics_pid_20260722_111305.csv</x:v>
      </x:c>
    </x:row>
    <x:row r="6">
      <x:c r="A6" t="str">
        <x:v>ics_pid_20260722_111305.csv</x:v>
      </x:c>
      <x:c r="B6" t="str">
        <x:v>&lt;100</x:v>
      </x:c>
      <x:c r="C6" s="41" t="n">
        <x:v>198</x:v>
      </x:c>
      <x:c r="D6" s="40" t="n">
        <x:v>33.92068010000003</x:v>
      </x:c>
      <x:c r="E6" s="40" t="n">
        <x:v>41.46099460000005</x:v>
      </x:c>
      <x:c r="F6" s="40" t="n">
        <x:v>99.48157</x:v>
      </x:c>
      <x:c r="G6" s="40" t="n">
        <x:v>1.31618309</x:v>
      </x:c>
      <x:c r="H6" s="40" t="n">
        <x:v>0.5</x:v>
      </x:c>
      <x:c r="I6" s="40" t="n">
        <x:v>-3.41378021</x:v>
      </x:c>
      <x:c r="J6" s="40" t="n">
        <x:v>-0.6426875999999999</x:v>
      </x:c>
      <x:c r="K6" s="40" t="n">
        <x:v>5</x:v>
      </x:c>
      <x:c r="L6" s="40" t="n">
        <x:v>-0.8231153245</x:v>
      </x:c>
      <x:c r="M6" s="40" t="n">
        <x:v>-0.81478125</x:v>
      </x:c>
      <x:c r="N6" s="40" t="n">
        <x:v>3.48405457</x:v>
      </x:c>
      <x:c r="O6" s="40" t="n">
        <x:v>2.9803772</x:v>
      </x:c>
      <x:c r="P6" s="40" t="n">
        <x:v>0.304916382</x:v>
      </x:c>
      <x:c r="Q6" s="40" t="n">
        <x:v>0.210876465</x:v>
      </x:c>
      <x:c r="R6" s="40" t="str">
        <x:v>Approach</x:v>
      </x:c>
      <x:c r="S6" s="40" t="str">
        <x:v>1</x:v>
      </x:c>
      <x:c r="T6" t="str">
        <x:v>C:\Users\user\Documents\aviacia_v2\logs\ics_pid_20260722_111305.csv</x:v>
      </x:c>
    </x:row>
    <x:row r="7">
      <x:c r="A7" t="str">
        <x:v>ics_pid_20260722_150549.csv</x:v>
      </x:c>
      <x:c r="B7" t="str">
        <x:v>400+</x:v>
      </x:c>
      <x:c r="C7" s="41" t="n">
        <x:v>308</x:v>
      </x:c>
      <x:c r="D7" s="40" t="n">
        <x:v>0.0005620000001727021</x:v>
      </x:c>
      <x:c r="E7" s="40" t="n">
        <x:v>11.289876600000298</x:v>
      </x:c>
      <x:c r="F7" s="40" t="n">
        <x:v>547.988831</x:v>
      </x:c>
      <x:c r="G7" s="40" t="n">
        <x:v>400.317352</x:v>
      </x:c>
      <x:c r="H7" s="40" t="n">
        <x:v>0.17061013123291083</x:v>
      </x:c>
      <x:c r="I7" s="40" t="n">
        <x:v>-4.51327863</x:v>
      </x:c>
      <x:c r="J7" s="40" t="n">
        <x:v>3.50450818</x:v>
      </x:c>
      <x:c r="K7" s="40" t="n">
        <x:v>3.077832694159792</x:v>
      </x:c>
      <x:c r="L7" s="40" t="n">
        <x:v>-3.2759338299999996</x:v>
      </x:c>
      <x:c r="M7" s="40" t="n">
        <x:v>-0.29134632650000003</x:v>
      </x:c>
      <x:c r="N7" s="40" t="n">
        <x:v>0.0944519043</x:v>
      </x:c>
      <x:c r="O7" s="40" t="n">
        <x:v>1.42634583</x:v>
      </x:c>
      <x:c r="P7" s="40" t="n">
        <x:v>0.196517944</x:v>
      </x:c>
      <x:c r="Q7" s="40" t="n">
        <x:v>-0.0405273438</x:v>
      </x:c>
      <x:c r="R7" s="40" t="str">
        <x:v>Approach</x:v>
      </x:c>
      <x:c r="S7" s="40" t="str">
        <x:v>1</x:v>
      </x:c>
      <x:c r="T7" t="str">
        <x:v>C:\Users\user\Documents\aviacia_v2\logs\ics_pid_20260722_150549.csv</x:v>
      </x:c>
    </x:row>
    <x:row r="8">
      <x:c r="A8" t="str">
        <x:v>ics_pid_20260722_150549.csv</x:v>
      </x:c>
      <x:c r="B8" t="str">
        <x:v>300–400</x:v>
      </x:c>
      <x:c r="C8" s="41" t="n">
        <x:v>343</x:v>
      </x:c>
      <x:c r="D8" s="40" t="n">
        <x:v>11.335384500000146</x:v>
      </x:c>
      <x:c r="E8" s="40" t="n">
        <x:v>25.517822400000114</x:v>
      </x:c>
      <x:c r="F8" s="40" t="n">
        <x:v>399.626984</x:v>
      </x:c>
      <x:c r="G8" s="40" t="n">
        <x:v>300.4358</x:v>
      </x:c>
      <x:c r="H8" s="40" t="n">
        <x:v>0.011516967285047152</x:v>
      </x:c>
      <x:c r="I8" s="40" t="n">
        <x:v>-0.8299919499999999</x:v>
      </x:c>
      <x:c r="J8" s="40" t="n">
        <x:v>0.042932748150000005</x:v>
      </x:c>
      <x:c r="K8" s="40" t="n">
        <x:v>0.6998569976231692</x:v>
      </x:c>
      <x:c r="L8" s="40" t="n">
        <x:v>-0.7516119</x:v>
      </x:c>
      <x:c r="M8" s="40" t="n">
        <x:v>-0.7383972000000001</x:v>
      </x:c>
      <x:c r="N8" s="40" t="n">
        <x:v>1.42584229</x:v>
      </x:c>
      <x:c r="O8" s="40" t="n">
        <x:v>1.19946289</x:v>
      </x:c>
      <x:c r="P8" s="40" t="n">
        <x:v>-0.04057312</x:v>
      </x:c>
      <x:c r="Q8" s="40" t="n">
        <x:v>-0.0310974121</x:v>
      </x:c>
      <x:c r="R8" s="40" t="str">
        <x:v>Approach</x:v>
      </x:c>
      <x:c r="S8" s="40" t="str">
        <x:v>1</x:v>
      </x:c>
      <x:c r="T8" t="str">
        <x:v>C:\Users\user\Documents\aviacia_v2\logs\ics_pid_20260722_150549.csv</x:v>
      </x:c>
    </x:row>
    <x:row r="9">
      <x:c r="A9" t="str">
        <x:v>ics_pid_20260722_150549.csv</x:v>
      </x:c>
      <x:c r="B9" t="str">
        <x:v>200–300</x:v>
      </x:c>
      <x:c r="C9" s="41" t="n">
        <x:v>119</x:v>
      </x:c>
      <x:c r="D9" s="40" t="n">
        <x:v>25.562898800000312</x:v>
      </x:c>
      <x:c r="E9" s="40" t="n">
        <x:v>30.362595500000225</x:v>
      </x:c>
      <x:c r="F9" s="40" t="n">
        <x:v>299.763245</x:v>
      </x:c>
      <x:c r="G9" s="40" t="n">
        <x:v>200.225815</x:v>
      </x:c>
      <x:c r="H9" s="40" t="n">
        <x:v>0.10174858697856524</x:v>
      </x:c>
      <x:c r="I9" s="40" t="n">
        <x:v>-0.7600103775</x:v>
      </x:c>
      <x:c r="J9" s="40" t="n">
        <x:v>-0.084569595</x:v>
      </x:c>
      <x:c r="K9" s="40" t="n">
        <x:v>4.434808373693516</x:v>
      </x:c>
      <x:c r="L9" s="40" t="n">
        <x:v>-0.742104799</x:v>
      </x:c>
      <x:c r="M9" s="40" t="n">
        <x:v>-0.0492549464</x:v>
      </x:c>
      <x:c r="N9" s="40" t="n">
        <x:v>1.19946289</x:v>
      </x:c>
      <x:c r="O9" s="40" t="n">
        <x:v>1.16575623</x:v>
      </x:c>
      <x:c r="P9" s="40" t="n">
        <x:v>-0.0310974121</x:v>
      </x:c>
      <x:c r="Q9" s="40" t="n">
        <x:v>0.341781616</x:v>
      </x:c>
      <x:c r="R9" s="40" t="str">
        <x:v>Approach</x:v>
      </x:c>
      <x:c r="S9" s="40" t="str">
        <x:v>1</x:v>
      </x:c>
      <x:c r="T9" t="str">
        <x:v>C:\Users\user\Documents\aviacia_v2\logs\ics_pid_20260722_150549.csv</x:v>
      </x:c>
    </x:row>
    <x:row r="10">
      <x:c r="A10" t="str">
        <x:v>ics_pid_20260722_150549.csv</x:v>
      </x:c>
      <x:c r="B10" t="str">
        <x:v>100–200</x:v>
      </x:c>
      <x:c r="C10" s="41" t="n">
        <x:v>143</x:v>
      </x:c>
      <x:c r="D10" s="40" t="n">
        <x:v>30.408919500000138</x:v>
      </x:c>
      <x:c r="E10" s="40" t="n">
        <x:v>36.195880000000216</x:v>
      </x:c>
      <x:c r="F10" s="40" t="n">
        <x:v>199.0213</x:v>
      </x:c>
      <x:c r="G10" s="40" t="n">
        <x:v>100.089264</x:v>
      </x:c>
      <x:c r="H10" s="40" t="n">
        <x:v>1.5</x:v>
      </x:c>
      <x:c r="I10" s="40" t="n">
        <x:v>-0.6312865</x:v>
      </x:c>
      <x:c r="J10" s="40" t="n">
        <x:v>-0.3085214345</x:v>
      </x:c>
      <x:c r="K10" s="40" t="n">
        <x:v>7.854943570283055</x:v>
      </x:c>
      <x:c r="L10" s="40" t="n">
        <x:v>-0.7926840335</x:v>
      </x:c>
      <x:c r="M10" s="40" t="n">
        <x:v>-0.7099533499999999</x:v>
      </x:c>
      <x:c r="N10" s="40" t="n">
        <x:v>1.163971</x:v>
      </x:c>
      <x:c r="O10" s="40" t="n">
        <x:v>1.08680725</x:v>
      </x:c>
      <x:c r="P10" s="40" t="n">
        <x:v>0.343322754</x:v>
      </x:c>
      <x:c r="Q10" s="40" t="n">
        <x:v>0.342987061</x:v>
      </x:c>
      <x:c r="R10" s="40" t="str">
        <x:v>Approach</x:v>
      </x:c>
      <x:c r="S10" s="40" t="str">
        <x:v>1</x:v>
      </x:c>
      <x:c r="T10" t="str">
        <x:v>C:\Users\user\Documents\aviacia_v2\logs\ics_pid_20260722_150549.csv</x:v>
      </x:c>
    </x:row>
    <x:row r="11">
      <x:c r="A11" t="str">
        <x:v>ics_pid_20260722_150549.csv</x:v>
      </x:c>
      <x:c r="B11" t="str">
        <x:v>&lt;100</x:v>
      </x:c>
      <x:c r="C11" s="41" t="n">
        <x:v>122</x:v>
      </x:c>
      <x:c r="D11" s="40" t="n">
        <x:v>36.2267638000003</x:v>
      </x:c>
      <x:c r="E11" s="40" t="n">
        <x:v>41.1097077000004</x:v>
      </x:c>
      <x:c r="F11" s="40" t="n">
        <x:v>99.4097443</x:v>
      </x:c>
      <x:c r="G11" s="40" t="n">
        <x:v>17.1675014</x:v>
      </x:c>
      <x:c r="H11" s="40" t="n">
        <x:v>1.5</x:v>
      </x:c>
      <x:c r="I11" s="40" t="n">
        <x:v>-1.680191635</x:v>
      </x:c>
      <x:c r="J11" s="40" t="n">
        <x:v>-0.6326666</x:v>
      </x:c>
      <x:c r="K11" s="40" t="n">
        <x:v>10</x:v>
      </x:c>
      <x:c r="L11" s="40" t="n">
        <x:v>-0.8077031</x:v>
      </x:c>
      <x:c r="M11" s="40" t="n">
        <x:v>-0.792815877</x:v>
      </x:c>
      <x:c r="N11" s="40" t="n">
        <x:v>1.08682251</x:v>
      </x:c>
      <x:c r="O11" s="40" t="n">
        <x:v>0.9198761</x:v>
      </x:c>
      <x:c r="P11" s="40" t="n">
        <x:v>0.342651367</x:v>
      </x:c>
      <x:c r="Q11" s="40" t="n">
        <x:v>0.283416748</x:v>
      </x:c>
      <x:c r="R11" s="40" t="str">
        <x:v>Approach</x:v>
      </x:c>
      <x:c r="S11" s="40" t="str">
        <x:v>1</x:v>
      </x:c>
      <x:c r="T11" t="str">
        <x:v>C:\Users\user\Documents\aviacia_v2\logs\ics_pid_20260722_150549.csv</x:v>
      </x:c>
    </x:row>
    <x:row r="12">
      <x:c r="A12" t="str">
        <x:v>ics_pid_20260722_155752.csv</x:v>
      </x:c>
      <x:c r="B12" t="str">
        <x:v>400+</x:v>
      </x:c>
      <x:c r="C12" s="41" t="n">
        <x:v>344</x:v>
      </x:c>
      <x:c r="D12" s="40" t="n">
        <x:v>0.0007009000000834931</x:v>
      </x:c>
      <x:c r="E12" s="40" t="n">
        <x:v>11.766482700000097</x:v>
      </x:c>
      <x:c r="F12" s="40" t="n">
        <x:v>538.610046</x:v>
      </x:c>
      <x:c r="G12" s="40" t="n">
        <x:v>400.283417</x:v>
      </x:c>
      <x:c r="H12" s="40" t="n">
        <x:v>0.11869627647243525</x:v>
      </x:c>
      <x:c r="I12" s="40" t="n">
        <x:v>-0.227583118</x:v>
      </x:c>
      <x:c r="J12" s="40" t="n">
        <x:v>6.352910995</x:v>
      </x:c>
      <x:c r="K12" s="40" t="n">
        <x:v>3.0765283122199594</x:v>
      </x:c>
      <x:c r="L12" s="40" t="n">
        <x:v>-3.21689212</x:v>
      </x:c>
      <x:c r="M12" s="40" t="n">
        <x:v>-0.3108732105</x:v>
      </x:c>
      <x:c r="N12" s="40" t="n">
        <x:v>3.27566528</x:v>
      </x:c>
      <x:c r="O12" s="40" t="n">
        <x:v>3.22651672</x:v>
      </x:c>
      <x:c r="P12" s="40" t="n">
        <x:v>0.164031982</x:v>
      </x:c>
      <x:c r="Q12" s="40" t="n">
        <x:v>-0.0383605957</x:v>
      </x:c>
      <x:c r="R12" s="40" t="str">
        <x:v>Approach</x:v>
      </x:c>
      <x:c r="S12" s="40" t="str">
        <x:v>1</x:v>
      </x:c>
      <x:c r="T12" t="str">
        <x:v>C:\Users\user\Documents\aviacia_v2\logs\ics_pid_20260722_155752.csv</x:v>
      </x:c>
    </x:row>
    <x:row r="13">
      <x:c r="A13" t="str">
        <x:v>ics_pid_20260722_155752.csv</x:v>
      </x:c>
      <x:c r="B13" t="str">
        <x:v>300–400</x:v>
      </x:c>
      <x:c r="C13" s="41" t="n">
        <x:v>224</x:v>
      </x:c>
      <x:c r="D13" s="40" t="n">
        <x:v>11.797900600000048</x:v>
      </x:c>
      <x:c r="E13" s="40" t="n">
        <x:v>19.957404600000018</x:v>
      </x:c>
      <x:c r="F13" s="40" t="n">
        <x:v>399.846069</x:v>
      </x:c>
      <x:c r="G13" s="40" t="n">
        <x:v>300.264282</x:v>
      </x:c>
      <x:c r="H13" s="40" t="n">
        <x:v>0.015085309100061414</x:v>
      </x:c>
      <x:c r="I13" s="40" t="n">
        <x:v>-0.2524527795</x:v>
      </x:c>
      <x:c r="J13" s="40" t="n">
        <x:v>0.59594765</x:v>
      </x:c>
      <x:c r="K13" s="40" t="n">
        <x:v>0.6909498882045696</x:v>
      </x:c>
      <x:c r="L13" s="40" t="n">
        <x:v>-0.7388500499999999</x:v>
      </x:c>
      <x:c r="M13" s="40" t="n">
        <x:v>-0.72904185</x:v>
      </x:c>
      <x:c r="N13" s="40" t="n">
        <x:v>3.22155762</x:v>
      </x:c>
      <x:c r="O13" s="40" t="n">
        <x:v>2.91233826</x:v>
      </x:c>
      <x:c r="P13" s="40" t="n">
        <x:v>-0.0384979248</x:v>
      </x:c>
      <x:c r="Q13" s="40" t="n">
        <x:v>-0.0427856445</x:v>
      </x:c>
      <x:c r="R13" s="40" t="str">
        <x:v>Approach</x:v>
      </x:c>
      <x:c r="S13" s="40" t="str">
        <x:v>1</x:v>
      </x:c>
      <x:c r="T13" t="str">
        <x:v>C:\Users\user\Documents\aviacia_v2\logs\ics_pid_20260722_155752.csv</x:v>
      </x:c>
    </x:row>
    <x:row r="14">
      <x:c r="A14" t="str">
        <x:v>ics_pid_20260722_155752.csv</x:v>
      </x:c>
      <x:c r="B14" t="str">
        <x:v>200–300</x:v>
      </x:c>
      <x:c r="C14" s="41" t="n">
        <x:v>186</x:v>
      </x:c>
      <x:c r="D14" s="40" t="n">
        <x:v>20.004130799999984</x:v>
      </x:c>
      <x:c r="E14" s="40" t="n">
        <x:v>26.86506290000011</x:v>
      </x:c>
      <x:c r="F14" s="40" t="n">
        <x:v>299.334442</x:v>
      </x:c>
      <x:c r="G14" s="40" t="n">
        <x:v>200.46756</x:v>
      </x:c>
      <x:c r="H14" s="40" t="n">
        <x:v>0.3025982117780197</x:v>
      </x:c>
      <x:c r="I14" s="40" t="n">
        <x:v>-0.6998267499999999</x:v>
      </x:c>
      <x:c r="J14" s="40" t="n">
        <x:v>0.15118809049999998</x:v>
      </x:c>
      <x:c r="K14" s="40" t="n">
        <x:v>5.910904412760972</x:v>
      </x:c>
      <x:c r="L14" s="40" t="n">
        <x:v>-0.7406381965</x:v>
      </x:c>
      <x:c r="M14" s="40" t="n">
        <x:v>-0.02258130535</x:v>
      </x:c>
      <x:c r="N14" s="40" t="n">
        <x:v>2.913498</x:v>
      </x:c>
      <x:c r="O14" s="40" t="n">
        <x:v>2.66793823</x:v>
      </x:c>
      <x:c r="P14" s="40" t="n">
        <x:v>-0.04270935</x:v>
      </x:c>
      <x:c r="Q14" s="40" t="n">
        <x:v>0.372787476</x:v>
      </x:c>
      <x:c r="R14" s="40" t="str">
        <x:v>Approach</x:v>
      </x:c>
      <x:c r="S14" s="40" t="str">
        <x:v>1</x:v>
      </x:c>
      <x:c r="T14" t="str">
        <x:v>C:\Users\user\Documents\aviacia_v2\logs\ics_pid_20260722_155752.csv</x:v>
      </x:c>
    </x:row>
    <x:row r="15">
      <x:c r="A15" t="str">
        <x:v>ics_pid_20260722_155752.csv</x:v>
      </x:c>
      <x:c r="B15" t="str">
        <x:v>100–200</x:v>
      </x:c>
      <x:c r="C15" s="41" t="n">
        <x:v>169</x:v>
      </x:c>
      <x:c r="D15" s="40" t="n">
        <x:v>26.896222999999964</x:v>
      </x:c>
      <x:c r="E15" s="40" t="n">
        <x:v>33.17750750000005</x:v>
      </x:c>
      <x:c r="F15" s="40" t="n">
        <x:v>199.845123</x:v>
      </x:c>
      <x:c r="G15" s="40" t="n">
        <x:v>100.414429</x:v>
      </x:c>
      <x:c r="H15" s="40" t="n">
        <x:v>1.7192559739648363</x:v>
      </x:c>
      <x:c r="I15" s="40" t="n">
        <x:v>-0.9765721855</x:v>
      </x:c>
      <x:c r="J15" s="40" t="n">
        <x:v>-0.701849252</x:v>
      </x:c>
      <x:c r="K15" s="40" t="n">
        <x:v>10</x:v>
      </x:c>
      <x:c r="L15" s="40" t="n">
        <x:v>-0.7926840835</x:v>
      </x:c>
      <x:c r="M15" s="40" t="n">
        <x:v>-0.74115135</x:v>
      </x:c>
      <x:c r="N15" s="40" t="n">
        <x:v>2.66809082</x:v>
      </x:c>
      <x:c r="O15" s="40" t="n">
        <x:v>2.76771545</x:v>
      </x:c>
      <x:c r="P15" s="40" t="n">
        <x:v>0.3729248</x:v>
      </x:c>
      <x:c r="Q15" s="40" t="n">
        <x:v>0.325302124</x:v>
      </x:c>
      <x:c r="R15" s="40" t="str">
        <x:v>Approach</x:v>
      </x:c>
      <x:c r="S15" s="40" t="str">
        <x:v>1</x:v>
      </x:c>
      <x:c r="T15" t="str">
        <x:v>C:\Users\user\Documents\aviacia_v2\logs\ics_pid_20260722_155752.csv</x:v>
      </x:c>
    </x:row>
    <x:row r="16">
      <x:c r="A16" t="str">
        <x:v>ics_pid_20260722_155752.csv</x:v>
      </x:c>
      <x:c r="B16" t="str">
        <x:v>&lt;100</x:v>
      </x:c>
      <x:c r="C16" s="41" t="n">
        <x:v>156</x:v>
      </x:c>
      <x:c r="D16" s="40" t="n">
        <x:v>33.22274689999995</x:v>
      </x:c>
      <x:c r="E16" s="40" t="n">
        <x:v>38.948233099999925</x:v>
      </x:c>
      <x:c r="F16" s="40" t="n">
        <x:v>99.29384</x:v>
      </x:c>
      <x:c r="G16" s="40" t="n">
        <x:v>9.405354</x:v>
      </x:c>
      <x:c r="H16" s="40" t="n">
        <x:v>1.935120394899935</x:v>
      </x:c>
      <x:c r="I16" s="40" t="n">
        <x:v>-2.63879967</x:v>
      </x:c>
      <x:c r="J16" s="40" t="n">
        <x:v>-0.977881815</x:v>
      </x:c>
      <x:c r="K16" s="40" t="n">
        <x:v>10</x:v>
      </x:c>
      <x:c r="L16" s="40" t="n">
        <x:v>-0.79890705</x:v>
      </x:c>
      <x:c r="M16" s="40" t="n">
        <x:v>-0.792800117</x:v>
      </x:c>
      <x:c r="N16" s="40" t="n">
        <x:v>2.76829529</x:v>
      </x:c>
      <x:c r="O16" s="40" t="n">
        <x:v>2.55090332</x:v>
      </x:c>
      <x:c r="P16" s="40" t="n">
        <x:v>0.3249359</x:v>
      </x:c>
      <x:c r="Q16" s="40" t="n">
        <x:v>0.252746582</x:v>
      </x:c>
      <x:c r="R16" s="40" t="str">
        <x:v>Approach</x:v>
      </x:c>
      <x:c r="S16" s="40" t="str">
        <x:v>1</x:v>
      </x:c>
      <x:c r="T16" t="str">
        <x:v>C:\Users\user\Documents\aviacia_v2\logs\ics_pid_20260722_155752.csv</x:v>
      </x:c>
    </x:row>
    <x:row r="17">
      <x:c r="A17" t="str">
        <x:v>ics_pid_20260722_160818.csv</x:v>
      </x:c>
      <x:c r="B17" t="str">
        <x:v>400+</x:v>
      </x:c>
      <x:c r="C17" s="41" t="n">
        <x:v>294</x:v>
      </x:c>
      <x:c r="D17" s="40" t="n">
        <x:v>0.0007921999999780382</x:v>
      </x:c>
      <x:c r="E17" s="40" t="n">
        <x:v>10.253717699999925</x:v>
      </x:c>
      <x:c r="F17" s="40" t="n">
        <x:v>536.6094</x:v>
      </x:c>
      <x:c r="G17" s="40" t="n">
        <x:v>400.114349</x:v>
      </x:c>
      <x:c r="H17" s="40" t="n">
        <x:v>0.1711258119173968</x:v>
      </x:c>
      <x:c r="I17" s="40" t="n">
        <x:v>-4.163622245</x:v>
      </x:c>
      <x:c r="J17" s="40" t="n">
        <x:v>3.66287863</x:v>
      </x:c>
      <x:c r="K17" s="40" t="n">
        <x:v>3.5555333365610715</x:v>
      </x:c>
      <x:c r="L17" s="40" t="n">
        <x:v>-3.765915755</x:v>
      </x:c>
      <x:c r="M17" s="40" t="n">
        <x:v>-0.3422271905</x:v>
      </x:c>
      <x:c r="N17" s="40" t="n">
        <x:v>2.422226</x:v>
      </x:c>
      <x:c r="O17" s="40" t="n">
        <x:v>3.53279114</x:v>
      </x:c>
      <x:c r="P17" s="40" t="n">
        <x:v>0.185653687</x:v>
      </x:c>
      <x:c r="Q17" s="40" t="n">
        <x:v>-0.0445098877</x:v>
      </x:c>
      <x:c r="R17" s="40" t="str">
        <x:v>Approach</x:v>
      </x:c>
      <x:c r="S17" s="40" t="str">
        <x:v>1</x:v>
      </x:c>
      <x:c r="T17" t="str">
        <x:v>C:\Users\user\Documents\aviacia_v2\logs\ics_pid_20260722_160818.csv</x:v>
      </x:c>
    </x:row>
    <x:row r="18">
      <x:c r="A18" t="str">
        <x:v>ics_pid_20260722_160818.csv</x:v>
      </x:c>
      <x:c r="B18" t="str">
        <x:v>300–400</x:v>
      </x:c>
      <x:c r="C18" s="41" t="n">
        <x:v>244</x:v>
      </x:c>
      <x:c r="D18" s="40" t="n">
        <x:v>10.284959500000014</x:v>
      </x:c>
      <x:c r="E18" s="40" t="n">
        <x:v>19.333171999999877</x:v>
      </x:c>
      <x:c r="F18" s="40" t="n">
        <x:v>399.8118</x:v>
      </x:c>
      <x:c r="G18" s="40" t="n">
        <x:v>300.164063</x:v>
      </x:c>
      <x:c r="H18" s="40" t="n">
        <x:v>0.006940830043480718</x:v>
      </x:c>
      <x:c r="I18" s="40" t="n">
        <x:v>-0.7792593</x:v>
      </x:c>
      <x:c r="J18" s="40" t="n">
        <x:v>-0.01784634215</x:v>
      </x:c>
      <x:c r="K18" s="40" t="n">
        <x:v>0.7155744813009435</x:v>
      </x:c>
      <x:c r="L18" s="40" t="n">
        <x:v>-0.7662013999999999</x:v>
      </x:c>
      <x:c r="M18" s="40" t="n">
        <x:v>-0.7483169335</x:v>
      </x:c>
      <x:c r="N18" s="40" t="n">
        <x:v>3.53108215</x:v>
      </x:c>
      <x:c r="O18" s="40" t="n">
        <x:v>3.43261719</x:v>
      </x:c>
      <x:c r="P18" s="40" t="n">
        <x:v>-0.0445251465</x:v>
      </x:c>
      <x:c r="Q18" s="40" t="n">
        <x:v>-0.0468292236</x:v>
      </x:c>
      <x:c r="R18" s="40" t="str">
        <x:v>Approach</x:v>
      </x:c>
      <x:c r="S18" s="40" t="str">
        <x:v>1</x:v>
      </x:c>
      <x:c r="T18" t="str">
        <x:v>C:\Users\user\Documents\aviacia_v2\logs\ics_pid_20260722_160818.csv</x:v>
      </x:c>
    </x:row>
    <x:row r="19">
      <x:c r="A19" t="str">
        <x:v>ics_pid_20260722_160818.csv</x:v>
      </x:c>
      <x:c r="B19" t="str">
        <x:v>200–300</x:v>
      </x:c>
      <x:c r="C19" s="41" t="n">
        <x:v>216</x:v>
      </x:c>
      <x:c r="D19" s="40" t="n">
        <x:v>19.36476330000005</x:v>
      </x:c>
      <x:c r="E19" s="40" t="n">
        <x:v>27.460343100000046</x:v>
      </x:c>
      <x:c r="F19" s="40" t="n">
        <x:v>299.69873</x:v>
      </x:c>
      <x:c r="G19" s="40" t="n">
        <x:v>200.0299</x:v>
      </x:c>
      <x:c r="H19" s="40" t="n">
        <x:v>0.016228814184387902</x:v>
      </x:c>
      <x:c r="I19" s="40" t="n">
        <x:v>-0.458021268</x:v>
      </x:c>
      <x:c r="J19" s="40" t="n">
        <x:v>-0.0394900106</x:v>
      </x:c>
      <x:c r="K19" s="40" t="n">
        <x:v>6.873395374160288</x:v>
      </x:c>
      <x:c r="L19" s="40" t="n">
        <x:v>-0.7867520715</x:v>
      </x:c>
      <x:c r="M19" s="40" t="n">
        <x:v>-0.023146327600000002</x:v>
      </x:c>
      <x:c r="N19" s="40" t="n">
        <x:v>3.43138123</x:v>
      </x:c>
      <x:c r="O19" s="40" t="n">
        <x:v>3.38252258</x:v>
      </x:c>
      <x:c r="P19" s="40" t="n">
        <x:v>-0.0467987061</x:v>
      </x:c>
      <x:c r="Q19" s="40" t="n">
        <x:v>0.3832245</x:v>
      </x:c>
      <x:c r="R19" s="40" t="str">
        <x:v>Approach</x:v>
      </x:c>
      <x:c r="S19" s="40" t="str">
        <x:v>1</x:v>
      </x:c>
      <x:c r="T19" t="str">
        <x:v>C:\Users\user\Documents\aviacia_v2\logs\ics_pid_20260722_160818.csv</x:v>
      </x:c>
    </x:row>
    <x:row r="20">
      <x:c r="A20" t="str">
        <x:v>ics_pid_20260722_160818.csv</x:v>
      </x:c>
      <x:c r="B20" t="str">
        <x:v>100–200</x:v>
      </x:c>
      <x:c r="C20" s="41" t="n">
        <x:v>205</x:v>
      </x:c>
      <x:c r="D20" s="40" t="n">
        <x:v>27.505754600000046</x:v>
      </x:c>
      <x:c r="E20" s="40" t="n">
        <x:v>35.13425469999993</x:v>
      </x:c>
      <x:c r="F20" s="40" t="n">
        <x:v>199.64502</x:v>
      </x:c>
      <x:c r="G20" s="40" t="n">
        <x:v>100.055374</x:v>
      </x:c>
      <x:c r="H20" s="40" t="n">
        <x:v>1.2727412706230528</x:v>
      </x:c>
      <x:c r="I20" s="40" t="n">
        <x:v>-0.59359535</x:v>
      </x:c>
      <x:c r="J20" s="40" t="n">
        <x:v>-0.459640312</x:v>
      </x:c>
      <x:c r="K20" s="40" t="n">
        <x:v>10</x:v>
      </x:c>
      <x:c r="L20" s="40" t="n">
        <x:v>-0.81429525</x:v>
      </x:c>
      <x:c r="M20" s="40" t="n">
        <x:v>-0.7874212345</x:v>
      </x:c>
      <x:c r="N20" s="40" t="n">
        <x:v>3.38238525</x:v>
      </x:c>
      <x:c r="O20" s="40" t="n">
        <x:v>3.40266418</x:v>
      </x:c>
      <x:c r="P20" s="40" t="n">
        <x:v>0.382949829</x:v>
      </x:c>
      <x:c r="Q20" s="40" t="n">
        <x:v>0.2935028</x:v>
      </x:c>
      <x:c r="R20" s="40" t="str">
        <x:v>Approach</x:v>
      </x:c>
      <x:c r="S20" s="40" t="str">
        <x:v>1</x:v>
      </x:c>
      <x:c r="T20" t="str">
        <x:v>C:\Users\user\Documents\aviacia_v2\logs\ics_pid_20260722_160818.csv</x:v>
      </x:c>
    </x:row>
    <x:row r="21">
      <x:c r="A21" t="str">
        <x:v>ics_pid_20260722_160818.csv</x:v>
      </x:c>
      <x:c r="B21" t="str">
        <x:v>&lt;100</x:v>
      </x:c>
      <x:c r="C21" s="41" t="n">
        <x:v>199</x:v>
      </x:c>
      <x:c r="D21" s="40" t="n">
        <x:v>35.1661388</x:v>
      </x:c>
      <x:c r="E21" s="40" t="n">
        <x:v>42.86137489999987</x:v>
      </x:c>
      <x:c r="F21" s="40" t="n">
        <x:v>99.5285</x:v>
      </x:c>
      <x:c r="G21" s="40" t="n">
        <x:v>1.44398594</x:v>
      </x:c>
      <x:c r="H21" s="40" t="n">
        <x:v>5</x:v>
      </x:c>
      <x:c r="I21" s="40" t="n">
        <x:v>-3.30033398</x:v>
      </x:c>
      <x:c r="J21" s="40" t="n">
        <x:v>-0.5941069</x:v>
      </x:c>
      <x:c r="K21" s="40" t="n">
        <x:v>10</x:v>
      </x:c>
      <x:c r="L21" s="40" t="n">
        <x:v>-0.8149108</x:v>
      </x:c>
      <x:c r="M21" s="40" t="n">
        <x:v>-0.8072502</x:v>
      </x:c>
      <x:c r="N21" s="40" t="n">
        <x:v>3.40293884</x:v>
      </x:c>
      <x:c r="O21" s="40" t="n">
        <x:v>2.90756226</x:v>
      </x:c>
      <x:c r="P21" s="40" t="n">
        <x:v>0.292709351</x:v>
      </x:c>
      <x:c r="Q21" s="40" t="n">
        <x:v>0.200912476</x:v>
      </x:c>
      <x:c r="R21" s="40" t="str">
        <x:v>Approach</x:v>
      </x:c>
      <x:c r="S21" s="40" t="str">
        <x:v>1</x:v>
      </x:c>
      <x:c r="T21" t="str">
        <x:v>C:\Users\user\Documents\aviacia_v2\logs\ics_pid_20260722_160818.csv</x:v>
      </x:c>
    </x:row>
    <x:row r="22">
      <x:c r="A22" t="str">
        <x:v>ics_pid_20260722_161244.csv</x:v>
      </x:c>
      <x:c r="B22" t="str">
        <x:v>400+</x:v>
      </x:c>
      <x:c r="C22" s="41" t="n">
        <x:v>170</x:v>
      </x:c>
      <x:c r="D22" s="40" t="n">
        <x:v>0.0005215999999563792</x:v>
      </x:c>
      <x:c r="E22" s="40" t="n">
        <x:v>5.298785699999826</x:v>
      </x:c>
      <x:c r="F22" s="40" t="n">
        <x:v>489.6468</x:v>
      </x:c>
      <x:c r="G22" s="40" t="n">
        <x:v>400.402527</x:v>
      </x:c>
      <x:c r="H22" s="40" t="n">
        <x:v>0.16251595404660055</x:v>
      </x:c>
      <x:c r="I22" s="40" t="n">
        <x:v>-4.129172085</x:v>
      </x:c>
      <x:c r="J22" s="40" t="n">
        <x:v>3.66875303</x:v>
      </x:c>
      <x:c r="K22" s="40" t="n">
        <x:v>4.360994304449452</x:v>
      </x:c>
      <x:c r="L22" s="40" t="n">
        <x:v>-4.6972629999999995</x:v>
      </x:c>
      <x:c r="M22" s="40" t="n">
        <x:v>-0.08176430805</x:v>
      </x:c>
      <x:c r="N22" s="40" t="n">
        <x:v>2.43347168</x:v>
      </x:c>
      <x:c r="O22" s="40" t="n">
        <x:v>3.83544922</x:v>
      </x:c>
      <x:c r="P22" s="40" t="n">
        <x:v>0.3720703</x:v>
      </x:c>
      <x:c r="Q22" s="40" t="n">
        <x:v>-0.16293335</x:v>
      </x:c>
      <x:c r="R22" s="40" t="str">
        <x:v>Approach</x:v>
      </x:c>
      <x:c r="S22" s="40" t="str">
        <x:v>1</x:v>
      </x:c>
      <x:c r="T22" t="str">
        <x:v>C:\Users\user\Documents\aviacia_v2\logs\ics_pid_20260722_161244.csv</x:v>
      </x:c>
    </x:row>
    <x:row r="23">
      <x:c r="A23" t="str">
        <x:v>ics_pid_20260722_161244.csv</x:v>
      </x:c>
      <x:c r="B23" t="str">
        <x:v>300–400</x:v>
      </x:c>
      <x:c r="C23" s="41" t="n">
        <x:v>274</x:v>
      </x:c>
      <x:c r="D23" s="40" t="n">
        <x:v>5.331115399999817</x:v>
      </x:c>
      <x:c r="E23" s="40" t="n">
        <x:v>15.387020599999914</x:v>
      </x:c>
      <x:c r="F23" s="40" t="n">
        <x:v>399.791962</x:v>
      </x:c>
      <x:c r="G23" s="40" t="n">
        <x:v>300.118225</x:v>
      </x:c>
      <x:c r="H23" s="40" t="n">
        <x:v>0.008740480440095143</x:v>
      </x:c>
      <x:c r="I23" s="40" t="n">
        <x:v>-0.6064719000000001</x:v>
      </x:c>
      <x:c r="J23" s="40" t="n">
        <x:v>0.2009492665</x:v>
      </x:c>
      <x:c r="K23" s="40" t="n">
        <x:v>0.6027508353636045</x:v>
      </x:c>
      <x:c r="L23" s="40" t="n">
        <x:v>-0.759327571</x:v>
      </x:c>
      <x:c r="M23" s="40" t="n">
        <x:v>-0.728787767</x:v>
      </x:c>
      <x:c r="N23" s="40" t="n">
        <x:v>3.83786</x:v>
      </x:c>
      <x:c r="O23" s="40" t="n">
        <x:v>3.5369873</x:v>
      </x:c>
      <x:c r="P23" s="40" t="n">
        <x:v>-0.16267395</x:v>
      </x:c>
      <x:c r="Q23" s="40" t="n">
        <x:v>-0.103210449</x:v>
      </x:c>
      <x:c r="R23" s="40" t="str">
        <x:v>Approach</x:v>
      </x:c>
      <x:c r="S23" s="40" t="str">
        <x:v>1</x:v>
      </x:c>
      <x:c r="T23" t="str">
        <x:v>C:\Users\user\Documents\aviacia_v2\logs\ics_pid_20260722_161244.csv</x:v>
      </x:c>
    </x:row>
    <x:row r="24">
      <x:c r="A24" t="str">
        <x:v>ics_pid_20260722_161244.csv</x:v>
      </x:c>
      <x:c r="B24" t="str">
        <x:v>200–300</x:v>
      </x:c>
      <x:c r="C24" s="41" t="n">
        <x:v>244</x:v>
      </x:c>
      <x:c r="D24" s="40" t="n">
        <x:v>15.431864299999916</x:v>
      </x:c>
      <x:c r="E24" s="40" t="n">
        <x:v>24.15739459999986</x:v>
      </x:c>
      <x:c r="F24" s="40" t="n">
        <x:v>299.7848</x:v>
      </x:c>
      <x:c r="G24" s="40" t="n">
        <x:v>200.2985</x:v>
      </x:c>
      <x:c r="H24" s="40" t="n">
        <x:v>0.11873120895561592</x:v>
      </x:c>
      <x:c r="I24" s="40" t="n">
        <x:v>-0.720956355</x:v>
      </x:c>
      <x:c r="J24" s="40" t="n">
        <x:v>-0.3751208745</x:v>
      </x:c>
      <x:c r="K24" s="40" t="n">
        <x:v>6.850069047238977</x:v>
      </x:c>
      <x:c r="L24" s="40" t="n">
        <x:v>-0.7838565325</x:v>
      </x:c>
      <x:c r="M24" s="40" t="n">
        <x:v>-0.0231297938</x:v>
      </x:c>
      <x:c r="N24" s="40" t="n">
        <x:v>3.53648376</x:v>
      </x:c>
      <x:c r="O24" s="40" t="n">
        <x:v>3.51557922</x:v>
      </x:c>
      <x:c r="P24" s="40" t="n">
        <x:v>-0.102737427</x:v>
      </x:c>
      <x:c r="Q24" s="40" t="n">
        <x:v>0.341888428</x:v>
      </x:c>
      <x:c r="R24" s="40" t="str">
        <x:v>Approach</x:v>
      </x:c>
      <x:c r="S24" s="40" t="str">
        <x:v>1</x:v>
      </x:c>
      <x:c r="T24" t="str">
        <x:v>C:\Users\user\Documents\aviacia_v2\logs\ics_pid_20260722_161244.csv</x:v>
      </x:c>
    </x:row>
    <x:row r="25">
      <x:c r="A25" t="str">
        <x:v>ics_pid_20260722_161244.csv</x:v>
      </x:c>
      <x:c r="B25" t="str">
        <x:v>100–200</x:v>
      </x:c>
      <x:c r="C25" s="41" t="n">
        <x:v>237</x:v>
      </x:c>
      <x:c r="D25" s="40" t="n">
        <x:v>24.190931599999885</x:v>
      </x:c>
      <x:c r="E25" s="40" t="n">
        <x:v>32.740668299999925</x:v>
      </x:c>
      <x:c r="F25" s="40" t="n">
        <x:v>199.951355</x:v>
      </x:c>
      <x:c r="G25" s="40" t="n">
        <x:v>100.208878</x:v>
      </x:c>
      <x:c r="H25" s="40" t="n">
        <x:v>0.9080583433735475</x:v>
      </x:c>
      <x:c r="I25" s="40" t="n">
        <x:v>-0.776191531</x:v>
      </x:c>
      <x:c r="J25" s="40" t="n">
        <x:v>-0.7212490145</x:v>
      </x:c>
      <x:c r="K25" s="40" t="n">
        <x:v>10</x:v>
      </x:c>
      <x:c r="L25" s="40" t="n">
        <x:v>-0.80043945</x:v>
      </x:c>
      <x:c r="M25" s="40" t="n">
        <x:v>-0.784101334</x:v>
      </x:c>
      <x:c r="N25" s="40" t="n">
        <x:v>3.51565552</x:v>
      </x:c>
      <x:c r="O25" s="40" t="n">
        <x:v>3.531021</x:v>
      </x:c>
      <x:c r="P25" s="40" t="n">
        <x:v>0.341720581</x:v>
      </x:c>
      <x:c r="Q25" s="40" t="n">
        <x:v>0.246154785</x:v>
      </x:c>
      <x:c r="R25" s="40" t="str">
        <x:v>Approach</x:v>
      </x:c>
      <x:c r="S25" s="40" t="str">
        <x:v>1</x:v>
      </x:c>
      <x:c r="T25" t="str">
        <x:v>C:\Users\user\Documents\aviacia_v2\logs\ics_pid_20260722_161244.csv</x:v>
      </x:c>
    </x:row>
    <x:row r="26">
      <x:c r="A26" t="str">
        <x:v>ics_pid_20260722_161244.csv</x:v>
      </x:c>
      <x:c r="B26" t="str">
        <x:v>&lt;100</x:v>
      </x:c>
      <x:c r="C26" s="41" t="n">
        <x:v>162</x:v>
      </x:c>
      <x:c r="D26" s="40" t="n">
        <x:v>32.78645699999993</x:v>
      </x:c>
      <x:c r="E26" s="40" t="n">
        <x:v>38.507261799999924</x:v>
      </x:c>
      <x:c r="F26" s="40" t="n">
        <x:v>99.85825</x:v>
      </x:c>
      <x:c r="G26" s="40" t="n">
        <x:v>34.01909</x:v>
      </x:c>
      <x:c r="H26" s="40" t="n">
        <x:v>1.3614293280706904</x:v>
      </x:c>
      <x:c r="I26" s="40" t="n">
        <x:v>-1.28239882</x:v>
      </x:c>
      <x:c r="J26" s="40" t="n">
        <x:v>-0.7763131685</x:v>
      </x:c>
      <x:c r="K26" s="40" t="n">
        <x:v>10</x:v>
      </x:c>
      <x:c r="L26" s="40" t="n">
        <x:v>-0.7998649</x:v>
      </x:c>
      <x:c r="M26" s="40" t="n">
        <x:v>-0.7954333695</x:v>
      </x:c>
      <x:c r="N26" s="40" t="n">
        <x:v>3.53105164</x:v>
      </x:c>
      <x:c r="O26" s="40" t="n">
        <x:v>3.414093</x:v>
      </x:c>
      <x:c r="P26" s="40" t="n">
        <x:v>0.245803833</x:v>
      </x:c>
      <x:c r="Q26" s="40" t="n">
        <x:v>0.1857605</x:v>
      </x:c>
      <x:c r="R26" s="40" t="str">
        <x:v>Approach</x:v>
      </x:c>
      <x:c r="S26" s="40" t="str">
        <x:v>1</x:v>
      </x:c>
      <x:c r="T26" t="str">
        <x:v>C:\Users\user\Documents\aviacia_v2\logs\ics_pid_20260722_161244.csv</x:v>
      </x:c>
    </x:row>
    <x:row r="27">
      <x:c r="A27" t="str">
        <x:v>ics_pid_20260722_161639.csv</x:v>
      </x:c>
      <x:c r="B27" t="str">
        <x:v>400+</x:v>
      </x:c>
      <x:c r="C27" s="41" t="n">
        <x:v>242</x:v>
      </x:c>
      <x:c r="D27" s="40" t="n">
        <x:v>0.000630999999884807</x:v>
      </x:c>
      <x:c r="E27" s="40" t="n">
        <x:v>7.82388869999977</x:v>
      </x:c>
      <x:c r="F27" s="40" t="n">
        <x:v>510.894318</x:v>
      </x:c>
      <x:c r="G27" s="40" t="n">
        <x:v>400.2035</x:v>
      </x:c>
      <x:c r="H27" s="40" t="n">
        <x:v>0.16067593983740563</x:v>
      </x:c>
      <x:c r="I27" s="40" t="n">
        <x:v>-3.639333725</x:v>
      </x:c>
      <x:c r="J27" s="40" t="n">
        <x:v>3.733015355</x:v>
      </x:c>
      <x:c r="K27" s="40" t="n">
        <x:v>4.210101247551396</x:v>
      </x:c>
      <x:c r="L27" s="40" t="n">
        <x:v>-4.548793555</x:v>
      </x:c>
      <x:c r="M27" s="40" t="n">
        <x:v>-0.18079961849999998</x:v>
      </x:c>
      <x:c r="N27" s="40" t="n">
        <x:v>2.4552002</x:v>
      </x:c>
      <x:c r="O27" s="40" t="n">
        <x:v>3.50248718</x:v>
      </x:c>
      <x:c r="P27" s="40" t="n">
        <x:v>0.340423584</x:v>
      </x:c>
      <x:c r="Q27" s="40" t="n">
        <x:v>-0.109283447</x:v>
      </x:c>
      <x:c r="R27" s="40" t="str">
        <x:v>Approach</x:v>
      </x:c>
      <x:c r="S27" s="40" t="str">
        <x:v>1</x:v>
      </x:c>
      <x:c r="T27" t="str">
        <x:v>C:\Users\user\Documents\aviacia_v2\logs\ics_pid_20260722_161639.csv</x:v>
      </x:c>
    </x:row>
    <x:row r="28">
      <x:c r="A28" t="str">
        <x:v>ics_pid_20260722_161639.csv</x:v>
      </x:c>
      <x:c r="B28" t="str">
        <x:v>300–400</x:v>
      </x:c>
      <x:c r="C28" s="41" t="n">
        <x:v>257</x:v>
      </x:c>
      <x:c r="D28" s="40" t="n">
        <x:v>7.869236000000001</x:v>
      </x:c>
      <x:c r="E28" s="40" t="n">
        <x:v>17.103227600000082</x:v>
      </x:c>
      <x:c r="F28" s="40" t="n">
        <x:v>399.832275</x:v>
      </x:c>
      <x:c r="G28" s="40" t="n">
        <x:v>300.751221</x:v>
      </x:c>
      <x:c r="H28" s="40" t="n">
        <x:v>0.008607598155652929</x:v>
      </x:c>
      <x:c r="I28" s="40" t="n">
        <x:v>-0.6336791235</x:v>
      </x:c>
      <x:c r="J28" s="40" t="n">
        <x:v>-0.0229217617</x:v>
      </x:c>
      <x:c r="K28" s="40" t="n">
        <x:v>0.6452992059796144</x:v>
      </x:c>
      <x:c r="L28" s="40" t="n">
        <x:v>-0.75232995</x:v>
      </x:c>
      <x:c r="M28" s="40" t="n">
        <x:v>-0.730719376</x:v>
      </x:c>
      <x:c r="N28" s="40" t="n">
        <x:v>3.5004425</x:v>
      </x:c>
      <x:c r="O28" s="40" t="n">
        <x:v>3.36486816</x:v>
      </x:c>
      <x:c r="P28" s="40" t="n">
        <x:v>-0.109191895</x:v>
      </x:c>
      <x:c r="Q28" s="40" t="n">
        <x:v>-0.07489014</x:v>
      </x:c>
      <x:c r="R28" s="40" t="str">
        <x:v>Approach</x:v>
      </x:c>
      <x:c r="S28" s="40" t="str">
        <x:v>1</x:v>
      </x:c>
      <x:c r="T28" t="str">
        <x:v>C:\Users\user\Documents\aviacia_v2\logs\ics_pid_20260722_161639.csv</x:v>
      </x:c>
    </x:row>
    <x:row r="29">
      <x:c r="A29" t="str">
        <x:v>ics_pid_20260722_161639.csv</x:v>
      </x:c>
      <x:c r="B29" t="str">
        <x:v>200–300</x:v>
      </x:c>
      <x:c r="C29" s="41" t="n">
        <x:v>225</x:v>
      </x:c>
      <x:c r="D29" s="40" t="n">
        <x:v>17.148392499999773</x:v>
      </x:c>
      <x:c r="E29" s="40" t="n">
        <x:v>25.407249200000024</x:v>
      </x:c>
      <x:c r="F29" s="40" t="n">
        <x:v>299.9496</x:v>
      </x:c>
      <x:c r="G29" s="40" t="n">
        <x:v>200.333237</x:v>
      </x:c>
      <x:c r="H29" s="40" t="n">
        <x:v>0.0120974963477866</x:v>
      </x:c>
      <x:c r="I29" s="40" t="n">
        <x:v>-0.9311760335</x:v>
      </x:c>
      <x:c r="J29" s="40" t="n">
        <x:v>-0.6457371780000001</x:v>
      </x:c>
      <x:c r="K29" s="40" t="n">
        <x:v>6.64822456330428</x:v>
      </x:c>
      <x:c r="L29" s="40" t="n">
        <x:v>-0.78137535</x:v>
      </x:c>
      <x:c r="M29" s="40" t="n">
        <x:v>-0.0324684456</x:v>
      </x:c>
      <x:c r="N29" s="40" t="n">
        <x:v>3.36341858</x:v>
      </x:c>
      <x:c r="O29" s="40" t="n">
        <x:v>3.29284668</x:v>
      </x:c>
      <x:c r="P29" s="40" t="n">
        <x:v>-0.0747833252</x:v>
      </x:c>
      <x:c r="Q29" s="40" t="n">
        <x:v>0.358306885</x:v>
      </x:c>
      <x:c r="R29" s="40" t="str">
        <x:v>Approach</x:v>
      </x:c>
      <x:c r="S29" s="40" t="str">
        <x:v>1</x:v>
      </x:c>
      <x:c r="T29" t="str">
        <x:v>C:\Users\user\Documents\aviacia_v2\logs\ics_pid_20260722_161639.csv</x:v>
      </x:c>
    </x:row>
    <x:row r="30">
      <x:c r="A30" t="str">
        <x:v>ics_pid_20260722_161639.csv</x:v>
      </x:c>
      <x:c r="B30" t="str">
        <x:v>100–200</x:v>
      </x:c>
      <x:c r="C30" s="41" t="n">
        <x:v>215</x:v>
      </x:c>
      <x:c r="D30" s="40" t="n">
        <x:v>25.45352879999973</x:v>
      </x:c>
      <x:c r="E30" s="40" t="n">
        <x:v>33.22375669999974</x:v>
      </x:c>
      <x:c r="F30" s="40" t="n">
        <x:v>199.450058</x:v>
      </x:c>
      <x:c r="G30" s="40" t="n">
        <x:v>100.119759</x:v>
      </x:c>
      <x:c r="H30" s="40" t="n">
        <x:v>1.233796528800641</x:v>
      </x:c>
      <x:c r="I30" s="40" t="n">
        <x:v>-1.072006765</x:v>
      </x:c>
      <x:c r="J30" s="40" t="n">
        <x:v>-0.9328010840000001</x:v>
      </x:c>
      <x:c r="K30" s="40" t="n">
        <x:v>10</x:v>
      </x:c>
      <x:c r="L30" s="40" t="n">
        <x:v>-0.8083639265</x:v>
      </x:c>
      <x:c r="M30" s="40" t="n">
        <x:v>-0.7820144</x:v>
      </x:c>
      <x:c r="N30" s="40" t="n">
        <x:v>3.29301453</x:v>
      </x:c>
      <x:c r="O30" s="40" t="n">
        <x:v>3.33294678</x:v>
      </x:c>
      <x:c r="P30" s="40" t="n">
        <x:v>0.358078</x:v>
      </x:c>
      <x:c r="Q30" s="40" t="n">
        <x:v>0.273132324</x:v>
      </x:c>
      <x:c r="R30" s="40" t="str">
        <x:v>Approach</x:v>
      </x:c>
      <x:c r="S30" s="40" t="str">
        <x:v>1</x:v>
      </x:c>
      <x:c r="T30" t="str">
        <x:v>C:\Users\user\Documents\aviacia_v2\logs\ics_pid_20260722_161639.csv</x:v>
      </x:c>
    </x:row>
    <x:row r="31">
      <x:c r="A31" t="str">
        <x:v>ics_pid_20260722_161639.csv</x:v>
      </x:c>
      <x:c r="B31" t="str">
        <x:v>&lt;100</x:v>
      </x:c>
      <x:c r="C31" s="41" t="n">
        <x:v>272</x:v>
      </x:c>
      <x:c r="D31" s="40" t="n">
        <x:v>33.269648999999845</x:v>
      </x:c>
      <x:c r="E31" s="40" t="n">
        <x:v>43.23337399999991</x:v>
      </x:c>
      <x:c r="F31" s="40" t="n">
        <x:v>99.60364</x:v>
      </x:c>
      <x:c r="G31" s="40" t="n">
        <x:v>0.288638115</x:v>
      </x:c>
      <x:c r="H31" s="40" t="n">
        <x:v>7</x:v>
      </x:c>
      <x:c r="I31" s="40" t="n">
        <x:v>-12.664871699999999</x:v>
      </x:c>
      <x:c r="J31" s="40" t="n">
        <x:v>1.815726635</x:v>
      </x:c>
      <x:c r="K31" s="40" t="n">
        <x:v>10</x:v>
      </x:c>
      <x:c r="L31" s="40" t="n">
        <x:v>-1.0081073649999999</x:v>
      </x:c>
      <x:c r="M31" s="40" t="n">
        <x:v>-0.035897863249999995</x:v>
      </x:c>
      <x:c r="N31" s="40" t="n">
        <x:v>3.33309937</x:v>
      </x:c>
      <x:c r="O31" s="40" t="n">
        <x:v>-0.269195557</x:v>
      </x:c>
      <x:c r="P31" s="40" t="n">
        <x:v>0.272750854</x:v>
      </x:c>
      <x:c r="Q31" s="40" t="n">
        <x:v>0.009109497</x:v>
      </x:c>
      <x:c r="R31" s="40" t="str">
        <x:v>Approach, Landing</x:v>
      </x:c>
      <x:c r="S31" s="40" t="str">
        <x:v>0</x:v>
      </x:c>
      <x:c r="T31" t="str">
        <x:v>C:\Users\user\Documents\aviacia_v2\logs\ics_pid_20260722_161639.csv</x:v>
      </x:c>
    </x:row>
    <x:row r="32">
      <x:c r="A32" t="str">
        <x:v>ics_pid_20260722_162132.csv</x:v>
      </x:c>
      <x:c r="B32" t="str">
        <x:v>400+</x:v>
      </x:c>
      <x:c r="C32" s="41" t="n">
        <x:v>309</x:v>
      </x:c>
      <x:c r="D32" s="40" t="n">
        <x:v>0.0005323999998836371</x:v>
      </x:c>
      <x:c r="E32" s="40" t="n">
        <x:v>10.490468499999679</x:v>
      </x:c>
      <x:c r="F32" s="40" t="n">
        <x:v>539.714966</x:v>
      </x:c>
      <x:c r="G32" s="40" t="n">
        <x:v>400.034729</x:v>
      </x:c>
      <x:c r="H32" s="40" t="n">
        <x:v>0.16677964465676004</x:v>
      </x:c>
      <x:c r="I32" s="40" t="n">
        <x:v>-4.142720935</x:v>
      </x:c>
      <x:c r="J32" s="40" t="n">
        <x:v>4.04147</x:v>
      </x:c>
      <x:c r="K32" s="40" t="n">
        <x:v>3.3645929233507377</x:v>
      </x:c>
      <x:c r="L32" s="40" t="n">
        <x:v>-3.5472779250000004</x:v>
      </x:c>
      <x:c r="M32" s="40" t="n">
        <x:v>-0.3417915105</x:v>
      </x:c>
      <x:c r="N32" s="40" t="n">
        <x:v>2.33764648</x:v>
      </x:c>
      <x:c r="O32" s="40" t="n">
        <x:v>3.434021</x:v>
      </x:c>
      <x:c r="P32" s="40" t="n">
        <x:v>0.1609497</x:v>
      </x:c>
      <x:c r="Q32" s="40" t="n">
        <x:v>-0.03753662</x:v>
      </x:c>
      <x:c r="R32" s="40" t="str">
        <x:v>Approach</x:v>
      </x:c>
      <x:c r="S32" s="40" t="str">
        <x:v>1</x:v>
      </x:c>
      <x:c r="T32" t="str">
        <x:v>C:\Users\user\Documents\aviacia_v2\logs\ics_pid_20260722_162132.csv</x:v>
      </x:c>
    </x:row>
    <x:row r="33">
      <x:c r="A33" t="str">
        <x:v>ics_pid_20260722_162132.csv</x:v>
      </x:c>
      <x:c r="B33" t="str">
        <x:v>300–400</x:v>
      </x:c>
      <x:c r="C33" s="41" t="n">
        <x:v>250</x:v>
      </x:c>
      <x:c r="D33" s="40" t="n">
        <x:v>10.521150300000045</x:v>
      </x:c>
      <x:c r="E33" s="40" t="n">
        <x:v>19.549129999999877</x:v>
      </x:c>
      <x:c r="F33" s="40" t="n">
        <x:v>399.7295</x:v>
      </x:c>
      <x:c r="G33" s="40" t="n">
        <x:v>300.1827</x:v>
      </x:c>
      <x:c r="H33" s="40" t="n">
        <x:v>0.006642168421743616</x:v>
      </x:c>
      <x:c r="I33" s="40" t="n">
        <x:v>-0.76064625</x:v>
      </x:c>
      <x:c r="J33" s="40" t="n">
        <x:v>0.000116754761</x:v>
      </x:c>
      <x:c r="K33" s="40" t="n">
        <x:v>0.7256928287892703</x:v>
      </x:c>
      <x:c r="L33" s="40" t="n">
        <x:v>-0.77086045</x:v>
      </x:c>
      <x:c r="M33" s="40" t="n">
        <x:v>-0.75725825</x:v>
      </x:c>
      <x:c r="N33" s="40" t="n">
        <x:v>3.43255615</x:v>
      </x:c>
      <x:c r="O33" s="40" t="n">
        <x:v>3.31726074</x:v>
      </x:c>
      <x:c r="P33" s="40" t="n">
        <x:v>-0.0375976563</x:v>
      </x:c>
      <x:c r="Q33" s="40" t="n">
        <x:v>-0.0446777344</x:v>
      </x:c>
      <x:c r="R33" s="40" t="str">
        <x:v>Approach</x:v>
      </x:c>
      <x:c r="S33" s="40" t="str">
        <x:v>1</x:v>
      </x:c>
      <x:c r="T33" t="str">
        <x:v>C:\Users\user\Documents\aviacia_v2\logs\ics_pid_20260722_162132.csv</x:v>
      </x:c>
    </x:row>
    <x:row r="34">
      <x:c r="A34" t="str">
        <x:v>ics_pid_20260722_162132.csv</x:v>
      </x:c>
      <x:c r="B34" t="str">
        <x:v>200–300</x:v>
      </x:c>
      <x:c r="C34" s="41" t="n">
        <x:v>222</x:v>
      </x:c>
      <x:c r="D34" s="40" t="n">
        <x:v>19.58035949999976</x:v>
      </x:c>
      <x:c r="E34" s="40" t="n">
        <x:v>27.664578099999744</x:v>
      </x:c>
      <x:c r="F34" s="40" t="n">
        <x:v>299.832672</x:v>
      </x:c>
      <x:c r="G34" s="40" t="n">
        <x:v>200.3374</x:v>
      </x:c>
      <x:c r="H34" s="40" t="n">
        <x:v>0.01687479457489561</x:v>
      </x:c>
      <x:c r="I34" s="40" t="n">
        <x:v>-0.4441167565</x:v>
      </x:c>
      <x:c r="J34" s="40" t="n">
        <x:v>-0.07237159465</x:v>
      </x:c>
      <x:c r="K34" s="40" t="n">
        <x:v>6.917526447177052</x:v>
      </x:c>
      <x:c r="L34" s="40" t="n">
        <x:v>-0.78912512</x:v>
      </x:c>
      <x:c r="M34" s="40" t="n">
        <x:v>-0.0199070284</x:v>
      </x:c>
      <x:c r="N34" s="40" t="n">
        <x:v>3.31726074</x:v>
      </x:c>
      <x:c r="O34" s="40" t="n">
        <x:v>3.27050781</x:v>
      </x:c>
      <x:c r="P34" s="40" t="n">
        <x:v>-0.0446777344</x:v>
      </x:c>
      <x:c r="Q34" s="40" t="n">
        <x:v>0.386672974</x:v>
      </x:c>
      <x:c r="R34" s="40" t="str">
        <x:v>Approach</x:v>
      </x:c>
      <x:c r="S34" s="40" t="str">
        <x:v>1</x:v>
      </x:c>
      <x:c r="T34" t="str">
        <x:v>C:\Users\user\Documents\aviacia_v2\logs\ics_pid_20260722_162132.csv</x:v>
      </x:c>
    </x:row>
    <x:row r="35">
      <x:c r="A35" t="str">
        <x:v>ics_pid_20260722_162132.csv</x:v>
      </x:c>
      <x:c r="B35" t="str">
        <x:v>100–200</x:v>
      </x:c>
      <x:c r="C35" s="41" t="n">
        <x:v>212</x:v>
      </x:c>
      <x:c r="D35" s="40" t="n">
        <x:v>27.695888100000047</x:v>
      </x:c>
      <x:c r="E35" s="40" t="n">
        <x:v>35.34262029999991</x:v>
      </x:c>
      <x:c r="F35" s="40" t="n">
        <x:v>199.952026</x:v>
      </x:c>
      <x:c r="G35" s="40" t="n">
        <x:v>100.0681</x:v>
      </x:c>
      <x:c r="H35" s="40" t="n">
        <x:v>1.30703920795364</x:v>
      </x:c>
      <x:c r="I35" s="40" t="n">
        <x:v>-0.576203433</x:v>
      </x:c>
      <x:c r="J35" s="40" t="n">
        <x:v>-0.444907382</x:v>
      </x:c>
      <x:c r="K35" s="40" t="n">
        <x:v>10</x:v>
      </x:c>
      <x:c r="L35" s="40" t="n">
        <x:v>-0.81635455</x:v>
      </x:c>
      <x:c r="M35" s="40" t="n">
        <x:v>-0.7894967835</x:v>
      </x:c>
      <x:c r="N35" s="40" t="n">
        <x:v>3.27043152</x:v>
      </x:c>
      <x:c r="O35" s="40" t="n">
        <x:v>3.287918</x:v>
      </x:c>
      <x:c r="P35" s="40" t="n">
        <x:v>0.3865509</x:v>
      </x:c>
      <x:c r="Q35" s="40" t="n">
        <x:v>0.295715332</x:v>
      </x:c>
      <x:c r="R35" s="40" t="str">
        <x:v>Approach</x:v>
      </x:c>
      <x:c r="S35" s="40" t="str">
        <x:v>1</x:v>
      </x:c>
      <x:c r="T35" t="str">
        <x:v>C:\Users\user\Documents\aviacia_v2\logs\ics_pid_20260722_162132.csv</x:v>
      </x:c>
    </x:row>
    <x:row r="36">
      <x:c r="A36" t="str">
        <x:v>ics_pid_20260722_162132.csv</x:v>
      </x:c>
      <x:c r="B36" t="str">
        <x:v>&lt;100</x:v>
      </x:c>
      <x:c r="C36" s="41" t="n">
        <x:v>271</x:v>
      </x:c>
      <x:c r="D36" s="40" t="n">
        <x:v>35.37486369999988</x:v>
      </x:c>
      <x:c r="E36" s="40" t="n">
        <x:v>45.17693819999977</x:v>
      </x:c>
      <x:c r="F36" s="40" t="n">
        <x:v>99.67224</x:v>
      </x:c>
      <x:c r="G36" s="40" t="n">
        <x:v>0.325581551</x:v>
      </x:c>
      <x:c r="H36" s="40" t="n">
        <x:v>14</x:v>
      </x:c>
      <x:c r="I36" s="40" t="n">
        <x:v>-12.419302250000001</x:v>
      </x:c>
      <x:c r="J36" s="40" t="n">
        <x:v>2.49398601</x:v>
      </x:c>
      <x:c r="K36" s="40" t="n">
        <x:v>10</x:v>
      </x:c>
      <x:c r="L36" s="40" t="n">
        <x:v>-0.8713441325</x:v>
      </x:c>
      <x:c r="M36" s="40" t="n">
        <x:v>0.191397153</x:v>
      </x:c>
      <x:c r="N36" s="40" t="n">
        <x:v>3.2881012</x:v>
      </x:c>
      <x:c r="O36" s="40" t="n">
        <x:v>-0.310043335</x:v>
      </x:c>
      <x:c r="P36" s="40" t="n">
        <x:v>0.295181274</x:v>
      </x:c>
      <x:c r="Q36" s="40" t="n">
        <x:v>0.0189971924</x:v>
      </x:c>
      <x:c r="R36" s="40" t="str">
        <x:v>Approach, Landing</x:v>
      </x:c>
      <x:c r="S36" s="40" t="str">
        <x:v>0</x:v>
      </x:c>
      <x:c r="T36" t="str">
        <x:v>C:\Users\user\Documents\aviacia_v2\logs\ics_pid_20260722_162132.csv</x:v>
      </x:c>
    </x:row>
    <x:row r="37">
      <x:c r="A37" t="str">
        <x:v>ics_pid_20260722_171133.csv</x:v>
      </x:c>
      <x:c r="B37" t="str">
        <x:v>400+</x:v>
      </x:c>
      <x:c r="C37" s="41" t="n">
        <x:v>304</x:v>
      </x:c>
      <x:c r="D37" s="40" t="n">
        <x:v>0.0008966000000327767</x:v>
      </x:c>
      <x:c r="E37" s="40" t="n">
        <x:v>10.725870200000031</x:v>
      </x:c>
      <x:c r="F37" s="40" t="n">
        <x:v>540.7197</x:v>
      </x:c>
      <x:c r="G37" s="40" t="n">
        <x:v>400.259064</x:v>
      </x:c>
      <x:c r="H37" s="40" t="n">
        <x:v>0.163236886778733</x:v>
      </x:c>
      <x:c r="I37" s="40" t="n">
        <x:v>-3.8993485000000003</x:v>
      </x:c>
      <x:c r="J37" s="40" t="n">
        <x:v>4.105654325</x:v>
      </x:c>
      <x:c r="K37" s="40" t="n">
        <x:v>3.6344727480410826</x:v>
      </x:c>
      <x:c r="L37" s="40" t="n">
        <x:v>-3.840201615</x:v>
      </x:c>
      <x:c r="M37" s="40" t="n">
        <x:v>-0.352548361</x:v>
      </x:c>
      <x:c r="N37" s="40" t="n">
        <x:v>2.796692</x:v>
      </x:c>
      <x:c r="O37" s="40" t="n">
        <x:v>3.77131653</x:v>
      </x:c>
      <x:c r="P37" s="40" t="n">
        <x:v>0.15486145</x:v>
      </x:c>
      <x:c r="Q37" s="40" t="n">
        <x:v>-0.0430450439</x:v>
      </x:c>
      <x:c r="R37" s="40" t="str">
        <x:v>Approach</x:v>
      </x:c>
      <x:c r="S37" s="40" t="str">
        <x:v>1</x:v>
      </x:c>
      <x:c r="T37" t="str">
        <x:v>C:\Users\user\Documents\aviacia_v2\logs\ics_pid_20260722_171133.csv</x:v>
      </x:c>
    </x:row>
    <x:row r="38">
      <x:c r="A38" t="str">
        <x:v>ics_pid_20260722_171133.csv</x:v>
      </x:c>
      <x:c r="B38" t="str">
        <x:v>300–400</x:v>
      </x:c>
      <x:c r="C38" s="41" t="n">
        <x:v>246</x:v>
      </x:c>
      <x:c r="D38" s="40" t="n">
        <x:v>10.77093089999994</x:v>
      </x:c>
      <x:c r="E38" s="40" t="n">
        <x:v>19.631834199999957</x:v>
      </x:c>
      <x:c r="F38" s="40" t="n">
        <x:v>399.536682</x:v>
      </x:c>
      <x:c r="G38" s="40" t="n">
        <x:v>300.1625</x:v>
      </x:c>
      <x:c r="H38" s="40" t="n">
        <x:v>0.002490631348874837</x:v>
      </x:c>
      <x:c r="I38" s="40" t="n">
        <x:v>-0.2282220425</x:v>
      </x:c>
      <x:c r="J38" s="40" t="n">
        <x:v>0.059793662100000006</x:v>
      </x:c>
      <x:c r="K38" s="40" t="n">
        <x:v>0.6964807257779368</x:v>
      </x:c>
      <x:c r="L38" s="40" t="n">
        <x:v>-0.7442599755</x:v>
      </x:c>
      <x:c r="M38" s="40" t="n">
        <x:v>-0.735142623</x:v>
      </x:c>
      <x:c r="N38" s="40" t="n">
        <x:v>3.7686615</x:v>
      </x:c>
      <x:c r="O38" s="40" t="n">
        <x:v>3.47911072</x:v>
      </x:c>
      <x:c r="P38" s="40" t="n">
        <x:v>-0.04310608</x:v>
      </x:c>
      <x:c r="Q38" s="40" t="n">
        <x:v>-0.0465698242</x:v>
      </x:c>
      <x:c r="R38" s="40" t="str">
        <x:v>Approach</x:v>
      </x:c>
      <x:c r="S38" s="40" t="str">
        <x:v>1</x:v>
      </x:c>
      <x:c r="T38" t="str">
        <x:v>C:\Users\user\Documents\aviacia_v2\logs\ics_pid_20260722_171133.csv</x:v>
      </x:c>
    </x:row>
    <x:row r="39">
      <x:c r="A39" t="str">
        <x:v>ics_pid_20260722_171133.csv</x:v>
      </x:c>
      <x:c r="B39" t="str">
        <x:v>200–300</x:v>
      </x:c>
      <x:c r="C39" s="41" t="n">
        <x:v>215</x:v>
      </x:c>
      <x:c r="D39" s="40" t="n">
        <x:v>19.67745070000001</x:v>
      </x:c>
      <x:c r="E39" s="40" t="n">
        <x:v>27.64816469999994</x:v>
      </x:c>
      <x:c r="F39" s="40" t="n">
        <x:v>299.68515</x:v>
      </x:c>
      <x:c r="G39" s="40" t="n">
        <x:v>200.1992</x:v>
      </x:c>
      <x:c r="H39" s="40" t="n">
        <x:v>0.03334100289786778</x:v>
      </x:c>
      <x:c r="I39" s="40" t="n">
        <x:v>-0.51883145</x:v>
      </x:c>
      <x:c r="J39" s="40" t="n">
        <x:v>-0.23296009750000002</x:v>
      </x:c>
      <x:c r="K39" s="40" t="n">
        <x:v>6.6398788536976925</x:v>
      </x:c>
      <x:c r="L39" s="40" t="n">
        <x:v>-0.7571361999999999</x:v>
      </x:c>
      <x:c r="M39" s="40" t="n">
        <x:v>-0.01712093225</x:v>
      </x:c>
      <x:c r="N39" s="40" t="n">
        <x:v>3.478531</x:v>
      </x:c>
      <x:c r="O39" s="40" t="n">
        <x:v>3.41293335</x:v>
      </x:c>
      <x:c r="P39" s="40" t="n">
        <x:v>-0.0465393066</x:v>
      </x:c>
      <x:c r="Q39" s="40" t="n">
        <x:v>0.3748169</x:v>
      </x:c>
      <x:c r="R39" s="40" t="str">
        <x:v>Approach</x:v>
      </x:c>
      <x:c r="S39" s="40" t="str">
        <x:v>1</x:v>
      </x:c>
      <x:c r="T39" t="str">
        <x:v>C:\Users\user\Documents\aviacia_v2\logs\ics_pid_20260722_171133.csv</x:v>
      </x:c>
    </x:row>
    <x:row r="40">
      <x:c r="A40" t="str">
        <x:v>ics_pid_20260722_171133.csv</x:v>
      </x:c>
      <x:c r="B40" t="str">
        <x:v>100–200</x:v>
      </x:c>
      <x:c r="C40" s="41" t="n">
        <x:v>208</x:v>
      </x:c>
      <x:c r="D40" s="40" t="n">
        <x:v>27.679856599999994</x:v>
      </x:c>
      <x:c r="E40" s="40" t="n">
        <x:v>35.22623850000002</x:v>
      </x:c>
      <x:c r="F40" s="40" t="n">
        <x:v>199.6804</x:v>
      </x:c>
      <x:c r="G40" s="40" t="n">
        <x:v>100.777817</x:v>
      </x:c>
      <x:c r="H40" s="40" t="n">
        <x:v>1.2746982131716706</x:v>
      </x:c>
      <x:c r="I40" s="40" t="n">
        <x:v>-0.6289559</x:v>
      </x:c>
      <x:c r="J40" s="40" t="n">
        <x:v>-0.519543797</x:v>
      </x:c>
      <x:c r="K40" s="40" t="n">
        <x:v>10</x:v>
      </x:c>
      <x:c r="L40" s="40" t="n">
        <x:v>-0.78348575</x:v>
      </x:c>
      <x:c r="M40" s="40" t="n">
        <x:v>-0.7574843</x:v>
      </x:c>
      <x:c r="N40" s="40" t="n">
        <x:v>3.41290283</x:v>
      </x:c>
      <x:c r="O40" s="40" t="n">
        <x:v>3.43954468</x:v>
      </x:c>
      <x:c r="P40" s="40" t="n">
        <x:v>0.374725342</x:v>
      </x:c>
      <x:c r="Q40" s="40" t="n">
        <x:v>0.289794922</x:v>
      </x:c>
      <x:c r="R40" s="40" t="str">
        <x:v>Approach</x:v>
      </x:c>
      <x:c r="S40" s="40" t="str">
        <x:v>1</x:v>
      </x:c>
      <x:c r="T40" t="str">
        <x:v>C:\Users\user\Documents\aviacia_v2\logs\ics_pid_20260722_171133.csv</x:v>
      </x:c>
    </x:row>
    <x:row r="41">
      <x:c r="A41" t="str">
        <x:v>ics_pid_20260722_171133.csv</x:v>
      </x:c>
      <x:c r="B41" t="str">
        <x:v>&lt;100</x:v>
      </x:c>
      <x:c r="C41" s="41" t="n">
        <x:v>278</x:v>
      </x:c>
      <x:c r="D41" s="40" t="n">
        <x:v>35.2710912</x:v>
      </x:c>
      <x:c r="E41" s="40" t="n">
        <x:v>45.12657309999997</x:v>
      </x:c>
      <x:c r="F41" s="40" t="n">
        <x:v>99.8536758</x:v>
      </x:c>
      <x:c r="G41" s="40" t="n">
        <x:v>0.278858185</x:v>
      </x:c>
      <x:c r="H41" s="40" t="n">
        <x:v>14</x:v>
      </x:c>
      <x:c r="I41" s="40" t="n">
        <x:v>-15.177599650000001</x:v>
      </x:c>
      <x:c r="J41" s="40" t="n">
        <x:v>2.89592043</x:v>
      </x:c>
      <x:c r="K41" s="40" t="n">
        <x:v>10</x:v>
      </x:c>
      <x:c r="L41" s="40" t="n">
        <x:v>-0.8580410295</x:v>
      </x:c>
      <x:c r="M41" s="40" t="n">
        <x:v>0.1439442135</x:v>
      </x:c>
      <x:c r="N41" s="40" t="n">
        <x:v>3.43969727</x:v>
      </x:c>
      <x:c r="O41" s="40" t="n">
        <x:v>-0.3826599</x:v>
      </x:c>
      <x:c r="P41" s="40" t="n">
        <x:v>0.2893982</x:v>
      </x:c>
      <x:c r="Q41" s="40" t="n">
        <x:v>0.006454468</x:v>
      </x:c>
      <x:c r="R41" s="40" t="str">
        <x:v>Approach, Landing</x:v>
      </x:c>
      <x:c r="S41" s="40" t="str">
        <x:v>0</x:v>
      </x:c>
      <x:c r="T41" t="str">
        <x:v>C:\Users\user\Documents\aviacia_v2\logs\ics_pid_20260722_171133.csv</x:v>
      </x:c>
    </x:row>
    <x:row r="42">
      <x:c r="A42" t="str">
        <x:v>ics_pid_20260722_173845.csv</x:v>
      </x:c>
      <x:c r="B42" t="str">
        <x:v>400+</x:v>
      </x:c>
      <x:c r="C42" s="41" t="n">
        <x:v>305</x:v>
      </x:c>
      <x:c r="D42" s="40" t="n">
        <x:v>0.0006187000003592402</x:v>
      </x:c>
      <x:c r="E42" s="40" t="n">
        <x:v>10.031051599999955</x:v>
      </x:c>
      <x:c r="F42" s="40" t="n">
        <x:v>530.2741</x:v>
      </x:c>
      <x:c r="G42" s="40" t="n">
        <x:v>400.046417</x:v>
      </x:c>
      <x:c r="H42" s="40" t="n">
        <x:v>0.15631547954320169</x:v>
      </x:c>
      <x:c r="I42" s="40" t="n">
        <x:v>-3.56675258</x:v>
      </x:c>
      <x:c r="J42" s="40" t="n">
        <x:v>3.278446385</x:v>
      </x:c>
      <x:c r="K42" s="40" t="n">
        <x:v>3.666236198710851</x:v>
      </x:c>
      <x:c r="L42" s="40" t="n">
        <x:v>-3.905942085</x:v>
      </x:c>
      <x:c r="M42" s="40" t="n">
        <x:v>-0.294727367</x:v>
      </x:c>
      <x:c r="N42" s="40" t="n">
        <x:v>2.737503</x:v>
      </x:c>
      <x:c r="O42" s="40" t="n">
        <x:v>3.42948914</x:v>
      </x:c>
      <x:c r="P42" s="40" t="n">
        <x:v>0.239776611</x:v>
      </x:c>
      <x:c r="Q42" s="40" t="n">
        <x:v>-0.0570068359</x:v>
      </x:c>
      <x:c r="R42" s="40" t="str">
        <x:v>Approach</x:v>
      </x:c>
      <x:c r="S42" s="40" t="str">
        <x:v>1</x:v>
      </x:c>
      <x:c r="T42" t="str">
        <x:v>C:\Users\user\Documents\aviacia_v2\logs\ics_pid_20260722_173845.csv</x:v>
      </x:c>
    </x:row>
    <x:row r="43">
      <x:c r="A43" t="str">
        <x:v>ics_pid_20260722_173845.csv</x:v>
      </x:c>
      <x:c r="B43" t="str">
        <x:v>300–400</x:v>
      </x:c>
      <x:c r="C43" s="41" t="n">
        <x:v>238</x:v>
      </x:c>
      <x:c r="D43" s="40" t="n">
        <x:v>10.062163300000066</x:v>
      </x:c>
      <x:c r="E43" s="40" t="n">
        <x:v>18.80401269999993</x:v>
      </x:c>
      <x:c r="F43" s="40" t="n">
        <x:v>399.737274</x:v>
      </x:c>
      <x:c r="G43" s="40" t="n">
        <x:v>300.03363</x:v>
      </x:c>
      <x:c r="H43" s="40" t="n">
        <x:v>0.0026624659011563567</x:v>
      </x:c>
      <x:c r="I43" s="40" t="n">
        <x:v>-0.19564715</x:v>
      </x:c>
      <x:c r="J43" s="40" t="n">
        <x:v>0.3611952515</x:v>
      </x:c>
      <x:c r="K43" s="40" t="n">
        <x:v>0.686715992873118</x:v>
      </x:c>
      <x:c r="L43" s="40" t="n">
        <x:v>-0.7511596845</x:v>
      </x:c>
      <x:c r="M43" s="40" t="n">
        <x:v>-0.74597165</x:v>
      </x:c>
      <x:c r="N43" s="40" t="n">
        <x:v>3.42805481</x:v>
      </x:c>
      <x:c r="O43" s="40" t="n">
        <x:v>3.21057129</x:v>
      </x:c>
      <x:c r="P43" s="40" t="n">
        <x:v>-0.0570068359</x:v>
      </x:c>
      <x:c r="Q43" s="40" t="n">
        <x:v>-0.0512542725</x:v>
      </x:c>
      <x:c r="R43" s="40" t="str">
        <x:v>Approach</x:v>
      </x:c>
      <x:c r="S43" s="40" t="str">
        <x:v>1</x:v>
      </x:c>
      <x:c r="T43" t="str">
        <x:v>C:\Users\user\Documents\aviacia_v2\logs\ics_pid_20260722_173845.csv</x:v>
      </x:c>
    </x:row>
    <x:row r="44">
      <x:c r="A44" t="str">
        <x:v>ics_pid_20260722_173845.csv</x:v>
      </x:c>
      <x:c r="B44" t="str">
        <x:v>200–300</x:v>
      </x:c>
      <x:c r="C44" s="41" t="n">
        <x:v>211</x:v>
      </x:c>
      <x:c r="D44" s="40" t="n">
        <x:v>18.84930650000024</x:v>
      </x:c>
      <x:c r="E44" s="40" t="n">
        <x:v>26.517941399999927</x:v>
      </x:c>
      <x:c r="F44" s="40" t="n">
        <x:v>299.542755</x:v>
      </x:c>
      <x:c r="G44" s="40" t="n">
        <x:v>200.298615</x:v>
      </x:c>
      <x:c r="H44" s="40" t="n">
        <x:v>0.11948176787460335</x:v>
      </x:c>
      <x:c r="I44" s="40" t="n">
        <x:v>-0.5123046705</x:v>
      </x:c>
      <x:c r="J44" s="40" t="n">
        <x:v>-0.14253480699999999</x:v>
      </x:c>
      <x:c r="K44" s="40" t="n">
        <x:v>6.465227566463832</x:v>
      </x:c>
      <x:c r="L44" s="40" t="n">
        <x:v>-0.7726833184999999</x:v>
      </x:c>
      <x:c r="M44" s="40" t="n">
        <x:v>-0.0289265092</x:v>
      </x:c>
      <x:c r="N44" s="40" t="n">
        <x:v>3.21063232</x:v>
      </x:c>
      <x:c r="O44" s="40" t="n">
        <x:v>3.11694336</x:v>
      </x:c>
      <x:c r="P44" s="40" t="n">
        <x:v>-0.0511932373</x:v>
      </x:c>
      <x:c r="Q44" s="40" t="n">
        <x:v>0.375030518</x:v>
      </x:c>
      <x:c r="R44" s="40" t="str">
        <x:v>Approach</x:v>
      </x:c>
      <x:c r="S44" s="40" t="str">
        <x:v>1</x:v>
      </x:c>
      <x:c r="T44" t="str">
        <x:v>C:\Users\user\Documents\aviacia_v2\logs\ics_pid_20260722_173845.csv</x:v>
      </x:c>
    </x:row>
    <x:row r="45">
      <x:c r="A45" t="str">
        <x:v>ics_pid_20260722_173845.csv</x:v>
      </x:c>
      <x:c r="B45" t="str">
        <x:v>100–200</x:v>
      </x:c>
      <x:c r="C45" s="41" t="n">
        <x:v>195</x:v>
      </x:c>
      <x:c r="D45" s="40" t="n">
        <x:v>26.562864900000022</x:v>
      </x:c>
      <x:c r="E45" s="40" t="n">
        <x:v>33.707100699999955</x:v>
      </x:c>
      <x:c r="F45" s="40" t="n">
        <x:v>199.347351</x:v>
      </x:c>
      <x:c r="G45" s="40" t="n">
        <x:v>100.115463</x:v>
      </x:c>
      <x:c r="H45" s="40" t="n">
        <x:v>0.40586808955544285</x:v>
      </x:c>
      <x:c r="I45" s="40" t="n">
        <x:v>-0.680549317</x:v>
      </x:c>
      <x:c r="J45" s="40" t="n">
        <x:v>-0.514063231</x:v>
      </x:c>
      <x:c r="K45" s="40" t="n">
        <x:v>10</x:v>
      </x:c>
      <x:c r="L45" s="40" t="n">
        <x:v>-0.806906082</x:v>
      </x:c>
      <x:c r="M45" s="40" t="n">
        <x:v>-0.7733845825</x:v>
      </x:c>
      <x:c r="N45" s="40" t="n">
        <x:v>3.116928</x:v>
      </x:c>
      <x:c r="O45" s="40" t="n">
        <x:v>3.15402222</x:v>
      </x:c>
      <x:c r="P45" s="40" t="n">
        <x:v>0.374984741</x:v>
      </x:c>
      <x:c r="Q45" s="40" t="n">
        <x:v>0.299682617</x:v>
      </x:c>
      <x:c r="R45" s="40" t="str">
        <x:v>Approach</x:v>
      </x:c>
      <x:c r="S45" s="40" t="str">
        <x:v>1</x:v>
      </x:c>
      <x:c r="T45" t="str">
        <x:v>C:\Users\user\Documents\aviacia_v2\logs\ics_pid_20260722_173845.csv</x:v>
      </x:c>
    </x:row>
    <x:row r="46">
      <x:c r="A46" t="str">
        <x:v>ics_pid_20260722_173845.csv</x:v>
      </x:c>
      <x:c r="B46" t="str">
        <x:v>&lt;100</x:v>
      </x:c>
      <x:c r="C46" s="41" t="n">
        <x:v>194</x:v>
      </x:c>
      <x:c r="D46" s="40" t="n">
        <x:v>33.75230009999996</x:v>
      </x:c>
      <x:c r="E46" s="40" t="n">
        <x:v>41.08575689999998</x:v>
      </x:c>
      <x:c r="F46" s="40" t="n">
        <x:v>99.69654</x:v>
      </x:c>
      <x:c r="G46" s="40" t="n">
        <x:v>0.537286758</x:v>
      </x:c>
      <x:c r="H46" s="40" t="n">
        <x:v>0.5</x:v>
      </x:c>
      <x:c r="I46" s="40" t="n">
        <x:v>-3.486629315</x:v>
      </x:c>
      <x:c r="J46" s="40" t="n">
        <x:v>-0.6809745</x:v>
      </x:c>
      <x:c r="K46" s="40" t="n">
        <x:v>10</x:v>
      </x:c>
      <x:c r="L46" s="40" t="n">
        <x:v>-0.8089622</x:v>
      </x:c>
      <x:c r="M46" s="40" t="n">
        <x:v>-0.73802325</x:v>
      </x:c>
      <x:c r="N46" s="40" t="n">
        <x:v>3.154251</x:v>
      </x:c>
      <x:c r="O46" s="40" t="n">
        <x:v>2.65325928</x:v>
      </x:c>
      <x:c r="P46" s="40" t="n">
        <x:v>0.2992859</x:v>
      </x:c>
      <x:c r="Q46" s="40" t="n">
        <x:v>0.195266724</x:v>
      </x:c>
      <x:c r="R46" s="40" t="str">
        <x:v>Approach</x:v>
      </x:c>
      <x:c r="S46" s="40" t="str">
        <x:v>1</x:v>
      </x:c>
      <x:c r="T46" t="str">
        <x:v>C:\Users\user\Documents\aviacia_v2\logs\ics_pid_20260722_173845.csv</x:v>
      </x:c>
    </x:row>
  </x:sheetData>
  <x:pageMargins left="0.7" right="0.7" top="0.75" bottom="0.75" header="0.3" footer="0.3"/>
  <x:tableParts count="1">
    <x:tablePart xmlns:r="http://schemas.openxmlformats.org/officeDocument/2006/relationships" r:id="Rff14474baab84f2a"/>
  </x:tableParts>
</x:worksheet>
</file>